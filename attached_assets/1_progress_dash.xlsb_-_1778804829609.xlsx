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ThisWorkbook"/>
  <xr:revisionPtr revIDLastSave="0" documentId="13_ncr:1000001_{E4E9C127-C8EC-624A-8666-4735CE8780E9}" xr6:coauthVersionLast="47" xr6:coauthVersionMax="47" xr10:uidLastSave="{00000000-0000-0000-0000-000000000000}"/>
  <bookViews>
    <workbookView xWindow="-120" yWindow="-120" windowWidth="20730" windowHeight="11040" tabRatio="550" activeTab="1" xr2:uid="{00000000-000D-0000-FFFF-FFFF00000000}"/>
  </bookViews>
  <sheets>
    <sheet name="control" sheetId="13" r:id="rId1"/>
    <sheet name="sc chem" sheetId="4" r:id="rId2"/>
    <sheet name="RAW SCORE" sheetId="8" r:id="rId3"/>
    <sheet name="Chart Data" sheetId="2" state="hidden" r:id="rId4"/>
  </sheets>
  <externalReferences>
    <externalReference r:id="rId5"/>
  </externalReferences>
  <definedNames>
    <definedName name="aa">INDIRECT('sc chem'!$A$22)</definedName>
    <definedName name="aab">INDIRECT('sc chem'!$A$23)</definedName>
    <definedName name="aac">INDIRECT('sc chem'!$A$25)</definedName>
    <definedName name="aad">INDIRECT('sc chem'!$A$26)</definedName>
    <definedName name="aae">INDIRECT('sc chem'!$A$27)</definedName>
    <definedName name="aaf">INDIRECT('sc chem'!$A$28)</definedName>
    <definedName name="aag">INDIRECT('sc chem'!$A$29)</definedName>
    <definedName name="aah">INDIRECT('sc chem'!$A$30)</definedName>
    <definedName name="aai">INDIRECT('sc chem'!$A$31)</definedName>
    <definedName name="aaj">INDIRECT('sc chem'!$A$32)</definedName>
    <definedName name="aak">INDIRECT('sc chem'!$A$33)</definedName>
    <definedName name="aal">INDIRECT('sc chem'!$A$35)</definedName>
    <definedName name="aam">INDIRECT('sc chem'!$A$36)</definedName>
    <definedName name="aan">INDIRECT('sc chem'!$A$37)</definedName>
    <definedName name="aao">INDIRECT('sc chem'!$A$38)</definedName>
    <definedName name="aap">INDIRECT('sc chem'!$A$39)</definedName>
    <definedName name="aaq">INDIRECT('sc chem'!$A$40)</definedName>
    <definedName name="aar">INDIRECT('sc chem'!$A$41)</definedName>
    <definedName name="aas">INDIRECT('sc chem'!$A$42)</definedName>
    <definedName name="aat">INDIRECT('sc chem'!$A$43)</definedName>
    <definedName name="aau">INDIRECT('sc chem'!$A$45)</definedName>
    <definedName name="aav">INDIRECT('sc chem'!$A$46)</definedName>
    <definedName name="aaw">INDIRECT('sc chem'!$A$47)</definedName>
    <definedName name="aax">INDIRECT('sc chem'!$A$48)</definedName>
    <definedName name="aay">INDIRECT('sc chem'!$A$49)</definedName>
    <definedName name="aaz">INDIRECT('sc chem'!$A$50)</definedName>
    <definedName name="aba">INDIRECT('sc chem'!$A$51)</definedName>
    <definedName name="abb">INDIRECT('sc chem'!$A$52)</definedName>
    <definedName name="abc">INDIRECT('sc chem'!$A$53)</definedName>
    <definedName name="abd">INDIRECT('sc chem'!$A$55)</definedName>
    <definedName name="abe">INDIRECT('sc chem'!$A$56)</definedName>
    <definedName name="abf">INDIRECT('sc chem'!$A$57)</definedName>
    <definedName name="abg">INDIRECT('sc chem'!$A$58)</definedName>
    <definedName name="abh">INDIRECT('sc chem'!$A$59)</definedName>
    <definedName name="abi">INDIRECT('sc chem'!$A$60)</definedName>
    <definedName name="abj">INDIRECT('sc chem'!$A$61)</definedName>
    <definedName name="abk">INDIRECT('sc chem'!$A$62)</definedName>
    <definedName name="abl">INDIRECT('sc chem'!$A$63)</definedName>
    <definedName name="abm">INDIRECT('sc chem'!$A$65)</definedName>
    <definedName name="abn">INDIRECT('sc chem'!$A$66)</definedName>
    <definedName name="abo">INDIRECT('sc chem'!$A$67)</definedName>
    <definedName name="abp">INDIRECT('sc chem'!$A$68)</definedName>
    <definedName name="abq">INDIRECT('sc chem'!$A$69)</definedName>
    <definedName name="abr">INDIRECT('sc chem'!$A$70)</definedName>
    <definedName name="abt">INDIRECT('sc chem'!$A$71)</definedName>
    <definedName name="abu">INDIRECT('sc chem'!$A$72)</definedName>
    <definedName name="abv">INDIRECT('sc chem'!$A$73)</definedName>
    <definedName name="abw">INDIRECT('sc chem'!$A$75)</definedName>
    <definedName name="abx">INDIRECT('sc chem'!$A$76)</definedName>
    <definedName name="aby">INDIRECT('sc chem'!$A$77)</definedName>
    <definedName name="abz">INDIRECT('sc chem'!$A$78)</definedName>
    <definedName name="ac">INDIRECT('sc chem'!$A$16)</definedName>
    <definedName name="aca">INDIRECT('sc chem'!$A$79)</definedName>
    <definedName name="acb">INDIRECT('sc chem'!$A$81)</definedName>
    <definedName name="acc">INDIRECT('sc chem'!$A$82)</definedName>
    <definedName name="acd">INDIRECT('sc chem'!$A$83)</definedName>
    <definedName name="ace">INDIRECT('sc chem'!$A$84)</definedName>
    <definedName name="acf">INDIRECT('sc chem'!$A$80)</definedName>
    <definedName name="achievements">INDIRECT('sc chem'!$A$15)</definedName>
    <definedName name="ACHIEVES">INDIRECT('[1]3A chem '!$B$14)</definedName>
    <definedName name="diamond">undefined("Picture 2")</definedName>
    <definedName name="diamondgem">control!$D$6</definedName>
    <definedName name="em">INDIRECT('sc chem'!$A$19)</definedName>
    <definedName name="en">INDIRECT('sc chem'!$A$20)</definedName>
    <definedName name="ev">INDIRECT('sc chem'!$A$18)</definedName>
    <definedName name="gem">INDIRECT("Picture 2")</definedName>
    <definedName name="golden">"Picture 4"</definedName>
    <definedName name="goldenticket">control!$D$5</definedName>
    <definedName name="hi">INDIRECT('sc chem'!$A$17)</definedName>
    <definedName name="pict">undefine('[1]3A chem '!$I$17)</definedName>
    <definedName name="picture">INDIRECT('[1]3A chem '!$B$14)</definedName>
    <definedName name="_xlnm.Print_Titles" localSheetId="1">'sc chem'!$6:$6</definedName>
    <definedName name="rewards">INDIRECT('[1]3A chem '!$B$14)</definedName>
    <definedName name="RWD">INDIRECT('[1]3A chem '!$B$14)</definedName>
    <definedName name="shophoto">INDIRECT([1]Sheet1!$C$1)</definedName>
    <definedName name="showphoto">INDIRECT([1]Sheet2!$C$2)</definedName>
    <definedName name="silverstar" localSheetId="0">control!#REF!</definedName>
    <definedName name="silverstar">'[1]3A chem '!$B$14</definedName>
    <definedName name="silverstars">control!#REF!</definedName>
    <definedName name="sliverticket">control!#REF!</definedName>
    <definedName name="slivertickets">control!#REF!</definedName>
    <definedName name="star">control!$D$3</definedName>
    <definedName name="stars">control!#REF!</definedName>
    <definedName name="ticket">control!$D$4</definedName>
    <definedName name="tickets">control!#REF!</definedName>
    <definedName name="TotalMonthlyExpenses" localSheetId="0">#REF!</definedName>
    <definedName name="TotalMonthlyExpenses" localSheetId="1">'sc chem'!#REF!</definedName>
    <definedName name="TotalMonthlyExpenses">#REF!</definedName>
    <definedName name="TotalMonthlyIncome" localSheetId="0">#REF!</definedName>
    <definedName name="TotalMonthlyIncome" localSheetId="1">'sc chem'!#REF!</definedName>
    <definedName name="TotalMonthlyIncome">#REF!</definedName>
    <definedName name="TotalMonthlySavings" localSheetId="1">'sc chem'!#REF!</definedName>
    <definedName name="ts">INDIRECT('sc chem'!$A$21)</definedName>
    <definedName name="x">control!$D$2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4" i="4" l="1"/>
  <c r="J4" i="8"/>
  <c r="N4" i="8"/>
  <c r="Q4" i="8"/>
  <c r="R4" i="8"/>
  <c r="D4" i="8"/>
  <c r="F15" i="4"/>
  <c r="J5" i="8"/>
  <c r="N5" i="8"/>
  <c r="Q5" i="8"/>
  <c r="R5" i="8"/>
  <c r="D5" i="8"/>
  <c r="F16" i="4"/>
  <c r="J6" i="8"/>
  <c r="N6" i="8"/>
  <c r="Q6" i="8"/>
  <c r="R6" i="8"/>
  <c r="D6" i="8"/>
  <c r="F17" i="4"/>
  <c r="J7" i="8"/>
  <c r="N7" i="8"/>
  <c r="Q7" i="8"/>
  <c r="R7" i="8"/>
  <c r="D7" i="8"/>
  <c r="F18" i="4"/>
  <c r="J8" i="8"/>
  <c r="N8" i="8"/>
  <c r="Q8" i="8"/>
  <c r="R8" i="8"/>
  <c r="D8" i="8"/>
  <c r="F19" i="4"/>
  <c r="J9" i="8"/>
  <c r="N9" i="8"/>
  <c r="Q9" i="8"/>
  <c r="R9" i="8"/>
  <c r="D9" i="8"/>
  <c r="F20" i="4"/>
  <c r="J11" i="8"/>
  <c r="N11" i="8"/>
  <c r="Q11" i="8"/>
  <c r="R11" i="8"/>
  <c r="D11" i="8"/>
  <c r="F22" i="4"/>
  <c r="J12" i="8"/>
  <c r="N12" i="8"/>
  <c r="Q12" i="8"/>
  <c r="R12" i="8"/>
  <c r="D12" i="8"/>
  <c r="F23" i="4"/>
  <c r="J13" i="8"/>
  <c r="N13" i="8"/>
  <c r="Q13" i="8"/>
  <c r="R13" i="8"/>
  <c r="D13" i="8"/>
  <c r="F24" i="4"/>
  <c r="J14" i="8"/>
  <c r="N14" i="8"/>
  <c r="Q14" i="8"/>
  <c r="R14" i="8"/>
  <c r="D14" i="8"/>
  <c r="F25" i="4"/>
  <c r="J15" i="8"/>
  <c r="N15" i="8"/>
  <c r="Q15" i="8"/>
  <c r="R15" i="8"/>
  <c r="D15" i="8"/>
  <c r="F26" i="4"/>
  <c r="J16" i="8"/>
  <c r="N16" i="8"/>
  <c r="Q16" i="8"/>
  <c r="R16" i="8"/>
  <c r="D16" i="8"/>
  <c r="F27" i="4"/>
  <c r="J17" i="8"/>
  <c r="N17" i="8"/>
  <c r="Q17" i="8"/>
  <c r="R17" i="8"/>
  <c r="D17" i="8"/>
  <c r="F28" i="4"/>
  <c r="J18" i="8"/>
  <c r="N18" i="8"/>
  <c r="Q18" i="8"/>
  <c r="R18" i="8"/>
  <c r="D18" i="8"/>
  <c r="F29" i="4"/>
  <c r="J19" i="8"/>
  <c r="N19" i="8"/>
  <c r="Q19" i="8"/>
  <c r="R19" i="8"/>
  <c r="D19" i="8"/>
  <c r="F30" i="4"/>
  <c r="J20" i="8"/>
  <c r="N20" i="8"/>
  <c r="Q20" i="8"/>
  <c r="R20" i="8"/>
  <c r="D20" i="8"/>
  <c r="F31" i="4"/>
  <c r="J21" i="8"/>
  <c r="N21" i="8"/>
  <c r="Q21" i="8"/>
  <c r="R21" i="8"/>
  <c r="D21" i="8"/>
  <c r="F32" i="4"/>
  <c r="J22" i="8"/>
  <c r="N22" i="8"/>
  <c r="Q22" i="8"/>
  <c r="R22" i="8"/>
  <c r="D22" i="8"/>
  <c r="F33" i="4"/>
  <c r="J23" i="8"/>
  <c r="N23" i="8"/>
  <c r="Q23" i="8"/>
  <c r="R23" i="8"/>
  <c r="D23" i="8"/>
  <c r="F34" i="4"/>
  <c r="J24" i="8"/>
  <c r="N24" i="8"/>
  <c r="Q24" i="8"/>
  <c r="R24" i="8"/>
  <c r="D24" i="8"/>
  <c r="F35" i="4"/>
  <c r="J25" i="8"/>
  <c r="N25" i="8"/>
  <c r="Q25" i="8"/>
  <c r="R25" i="8"/>
  <c r="D25" i="8"/>
  <c r="F36" i="4"/>
  <c r="J26" i="8"/>
  <c r="N26" i="8"/>
  <c r="Q26" i="8"/>
  <c r="R26" i="8"/>
  <c r="D26" i="8"/>
  <c r="F37" i="4"/>
  <c r="J27" i="8"/>
  <c r="N27" i="8"/>
  <c r="Q27" i="8"/>
  <c r="R27" i="8"/>
  <c r="D27" i="8"/>
  <c r="F38" i="4"/>
  <c r="J28" i="8"/>
  <c r="N28" i="8"/>
  <c r="Q28" i="8"/>
  <c r="R28" i="8"/>
  <c r="D28" i="8"/>
  <c r="F39" i="4"/>
  <c r="J29" i="8"/>
  <c r="N29" i="8"/>
  <c r="Q29" i="8"/>
  <c r="R29" i="8"/>
  <c r="D29" i="8"/>
  <c r="F40" i="4"/>
  <c r="J30" i="8"/>
  <c r="N30" i="8"/>
  <c r="Q30" i="8"/>
  <c r="R30" i="8"/>
  <c r="D30" i="8"/>
  <c r="F41" i="4"/>
  <c r="J31" i="8"/>
  <c r="N31" i="8"/>
  <c r="Q31" i="8"/>
  <c r="R31" i="8"/>
  <c r="D31" i="8"/>
  <c r="F42" i="4"/>
  <c r="J32" i="8"/>
  <c r="N32" i="8"/>
  <c r="Q32" i="8"/>
  <c r="R32" i="8"/>
  <c r="D32" i="8"/>
  <c r="F43" i="4"/>
  <c r="J33" i="8"/>
  <c r="N33" i="8"/>
  <c r="Q33" i="8"/>
  <c r="R33" i="8"/>
  <c r="D33" i="8"/>
  <c r="F44" i="4"/>
  <c r="J34" i="8"/>
  <c r="N34" i="8"/>
  <c r="Q34" i="8"/>
  <c r="R34" i="8"/>
  <c r="D34" i="8"/>
  <c r="F45" i="4"/>
  <c r="J35" i="8"/>
  <c r="N35" i="8"/>
  <c r="Q35" i="8"/>
  <c r="R35" i="8"/>
  <c r="D35" i="8"/>
  <c r="F46" i="4"/>
  <c r="J36" i="8"/>
  <c r="N36" i="8"/>
  <c r="Q36" i="8"/>
  <c r="R36" i="8"/>
  <c r="D36" i="8"/>
  <c r="F47" i="4"/>
  <c r="J37" i="8"/>
  <c r="N37" i="8"/>
  <c r="Q37" i="8"/>
  <c r="R37" i="8"/>
  <c r="D37" i="8"/>
  <c r="F48" i="4"/>
  <c r="J38" i="8"/>
  <c r="N38" i="8"/>
  <c r="Q38" i="8"/>
  <c r="R38" i="8"/>
  <c r="D38" i="8"/>
  <c r="F49" i="4"/>
  <c r="J39" i="8"/>
  <c r="N39" i="8"/>
  <c r="Q39" i="8"/>
  <c r="R39" i="8"/>
  <c r="D39" i="8"/>
  <c r="F50" i="4"/>
  <c r="J40" i="8"/>
  <c r="N40" i="8"/>
  <c r="Q40" i="8"/>
  <c r="R40" i="8"/>
  <c r="D40" i="8"/>
  <c r="F51" i="4"/>
  <c r="J41" i="8"/>
  <c r="N41" i="8"/>
  <c r="Q41" i="8"/>
  <c r="R41" i="8"/>
  <c r="D41" i="8"/>
  <c r="F52" i="4"/>
  <c r="J42" i="8"/>
  <c r="N42" i="8"/>
  <c r="Q42" i="8"/>
  <c r="R42" i="8"/>
  <c r="D42" i="8"/>
  <c r="F53" i="4"/>
  <c r="J43" i="8"/>
  <c r="N43" i="8"/>
  <c r="Q43" i="8"/>
  <c r="R43" i="8"/>
  <c r="D43" i="8"/>
  <c r="F54" i="4"/>
  <c r="J44" i="8"/>
  <c r="N44" i="8"/>
  <c r="Q44" i="8"/>
  <c r="R44" i="8"/>
  <c r="D44" i="8"/>
  <c r="F55" i="4"/>
  <c r="J45" i="8"/>
  <c r="N45" i="8"/>
  <c r="Q45" i="8"/>
  <c r="R45" i="8"/>
  <c r="D45" i="8"/>
  <c r="F56" i="4"/>
  <c r="J46" i="8"/>
  <c r="N46" i="8"/>
  <c r="Q46" i="8"/>
  <c r="R46" i="8"/>
  <c r="D46" i="8"/>
  <c r="F57" i="4"/>
  <c r="J47" i="8"/>
  <c r="N47" i="8"/>
  <c r="Q47" i="8"/>
  <c r="R47" i="8"/>
  <c r="D47" i="8"/>
  <c r="F58" i="4"/>
  <c r="J48" i="8"/>
  <c r="N48" i="8"/>
  <c r="Q48" i="8"/>
  <c r="R48" i="8"/>
  <c r="D48" i="8"/>
  <c r="F59" i="4"/>
  <c r="J49" i="8"/>
  <c r="N49" i="8"/>
  <c r="Q49" i="8"/>
  <c r="R49" i="8"/>
  <c r="D49" i="8"/>
  <c r="F60" i="4"/>
  <c r="J50" i="8"/>
  <c r="N50" i="8"/>
  <c r="Q50" i="8"/>
  <c r="R50" i="8"/>
  <c r="D50" i="8"/>
  <c r="F61" i="4"/>
  <c r="J51" i="8"/>
  <c r="N51" i="8"/>
  <c r="Q51" i="8"/>
  <c r="R51" i="8"/>
  <c r="D51" i="8"/>
  <c r="F62" i="4"/>
  <c r="J52" i="8"/>
  <c r="N52" i="8"/>
  <c r="Q52" i="8"/>
  <c r="R52" i="8"/>
  <c r="D52" i="8"/>
  <c r="F63" i="4"/>
  <c r="J53" i="8"/>
  <c r="N53" i="8"/>
  <c r="Q53" i="8"/>
  <c r="R53" i="8"/>
  <c r="D53" i="8"/>
  <c r="F64" i="4"/>
  <c r="J54" i="8"/>
  <c r="N54" i="8"/>
  <c r="Q54" i="8"/>
  <c r="R54" i="8"/>
  <c r="D54" i="8"/>
  <c r="F65" i="4"/>
  <c r="J55" i="8"/>
  <c r="N55" i="8"/>
  <c r="Q55" i="8"/>
  <c r="R55" i="8"/>
  <c r="D55" i="8"/>
  <c r="F66" i="4"/>
  <c r="J56" i="8"/>
  <c r="N56" i="8"/>
  <c r="Q56" i="8"/>
  <c r="R56" i="8"/>
  <c r="D56" i="8"/>
  <c r="F67" i="4"/>
  <c r="J57" i="8"/>
  <c r="N57" i="8"/>
  <c r="Q57" i="8"/>
  <c r="R57" i="8"/>
  <c r="D57" i="8"/>
  <c r="F68" i="4"/>
  <c r="J58" i="8"/>
  <c r="N58" i="8"/>
  <c r="Q58" i="8"/>
  <c r="R58" i="8"/>
  <c r="D58" i="8"/>
  <c r="F69" i="4"/>
  <c r="J59" i="8"/>
  <c r="N59" i="8"/>
  <c r="Q59" i="8"/>
  <c r="R59" i="8"/>
  <c r="D59" i="8"/>
  <c r="F70" i="4"/>
  <c r="J60" i="8"/>
  <c r="N60" i="8"/>
  <c r="Q60" i="8"/>
  <c r="R60" i="8"/>
  <c r="D60" i="8"/>
  <c r="F71" i="4"/>
  <c r="J61" i="8"/>
  <c r="N61" i="8"/>
  <c r="Q61" i="8"/>
  <c r="R61" i="8"/>
  <c r="D61" i="8"/>
  <c r="F72" i="4"/>
  <c r="J62" i="8"/>
  <c r="N62" i="8"/>
  <c r="Q62" i="8"/>
  <c r="R62" i="8"/>
  <c r="D62" i="8"/>
  <c r="F73" i="4"/>
  <c r="J63" i="8"/>
  <c r="N63" i="8"/>
  <c r="Q63" i="8"/>
  <c r="R63" i="8"/>
  <c r="D63" i="8"/>
  <c r="F74" i="4"/>
  <c r="J64" i="8"/>
  <c r="N64" i="8"/>
  <c r="Q64" i="8"/>
  <c r="R64" i="8"/>
  <c r="D64" i="8"/>
  <c r="F75" i="4"/>
  <c r="J65" i="8"/>
  <c r="N65" i="8"/>
  <c r="Q65" i="8"/>
  <c r="R65" i="8"/>
  <c r="D65" i="8"/>
  <c r="F76" i="4"/>
  <c r="J66" i="8"/>
  <c r="N66" i="8"/>
  <c r="Q66" i="8"/>
  <c r="R66" i="8"/>
  <c r="D66" i="8"/>
  <c r="F77" i="4"/>
  <c r="J67" i="8"/>
  <c r="N67" i="8"/>
  <c r="Q67" i="8"/>
  <c r="R67" i="8"/>
  <c r="D67" i="8"/>
  <c r="F78" i="4"/>
  <c r="J68" i="8"/>
  <c r="N68" i="8"/>
  <c r="Q68" i="8"/>
  <c r="R68" i="8"/>
  <c r="D68" i="8"/>
  <c r="F79" i="4"/>
  <c r="J69" i="8"/>
  <c r="N69" i="8"/>
  <c r="Q69" i="8"/>
  <c r="R69" i="8"/>
  <c r="D69" i="8"/>
  <c r="F80" i="4"/>
  <c r="J70" i="8"/>
  <c r="N70" i="8"/>
  <c r="Q70" i="8"/>
  <c r="R70" i="8"/>
  <c r="D70" i="8"/>
  <c r="F81" i="4"/>
  <c r="J71" i="8"/>
  <c r="N71" i="8"/>
  <c r="Q71" i="8"/>
  <c r="R71" i="8"/>
  <c r="D71" i="8"/>
  <c r="F82" i="4"/>
  <c r="J72" i="8"/>
  <c r="N72" i="8"/>
  <c r="Q72" i="8"/>
  <c r="R72" i="8"/>
  <c r="D72" i="8"/>
  <c r="F83" i="4"/>
  <c r="J73" i="8"/>
  <c r="N73" i="8"/>
  <c r="Q73" i="8"/>
  <c r="R73" i="8"/>
  <c r="D73" i="8"/>
  <c r="F84" i="4"/>
  <c r="J74" i="8"/>
  <c r="N74" i="8"/>
  <c r="Q74" i="8"/>
  <c r="R74" i="8"/>
  <c r="S74" i="8"/>
  <c r="U74" i="8"/>
  <c r="E74" i="8"/>
  <c r="S46" i="8"/>
  <c r="U46" i="8"/>
  <c r="E46" i="8"/>
  <c r="S47" i="8"/>
  <c r="U47" i="8"/>
  <c r="E47" i="8"/>
  <c r="S48" i="8"/>
  <c r="U48" i="8"/>
  <c r="E48" i="8"/>
  <c r="S49" i="8"/>
  <c r="U49" i="8"/>
  <c r="E49" i="8"/>
  <c r="S50" i="8"/>
  <c r="U50" i="8"/>
  <c r="E50" i="8"/>
  <c r="S51" i="8"/>
  <c r="U51" i="8"/>
  <c r="E51" i="8"/>
  <c r="S52" i="8"/>
  <c r="U52" i="8"/>
  <c r="E52" i="8"/>
  <c r="S53" i="8"/>
  <c r="U53" i="8"/>
  <c r="E53" i="8"/>
  <c r="S54" i="8"/>
  <c r="U54" i="8"/>
  <c r="E54" i="8"/>
  <c r="S55" i="8"/>
  <c r="U55" i="8"/>
  <c r="E55" i="8"/>
  <c r="S56" i="8"/>
  <c r="U56" i="8"/>
  <c r="E56" i="8"/>
  <c r="S57" i="8"/>
  <c r="U57" i="8"/>
  <c r="E57" i="8"/>
  <c r="S58" i="8"/>
  <c r="U58" i="8"/>
  <c r="E58" i="8"/>
  <c r="S59" i="8"/>
  <c r="U59" i="8"/>
  <c r="E59" i="8"/>
  <c r="S60" i="8"/>
  <c r="U60" i="8"/>
  <c r="E60" i="8"/>
  <c r="S61" i="8"/>
  <c r="U61" i="8"/>
  <c r="E61" i="8"/>
  <c r="S62" i="8"/>
  <c r="U62" i="8"/>
  <c r="E62" i="8"/>
  <c r="S63" i="8"/>
  <c r="U63" i="8"/>
  <c r="E63" i="8"/>
  <c r="S64" i="8"/>
  <c r="U64" i="8"/>
  <c r="E64" i="8"/>
  <c r="S65" i="8"/>
  <c r="U65" i="8"/>
  <c r="E65" i="8"/>
  <c r="S66" i="8"/>
  <c r="U66" i="8"/>
  <c r="E66" i="8"/>
  <c r="S67" i="8"/>
  <c r="U67" i="8"/>
  <c r="E67" i="8"/>
  <c r="S68" i="8"/>
  <c r="U68" i="8"/>
  <c r="E68" i="8"/>
  <c r="S69" i="8"/>
  <c r="U69" i="8"/>
  <c r="E69" i="8"/>
  <c r="S70" i="8"/>
  <c r="U70" i="8"/>
  <c r="E70" i="8"/>
  <c r="S71" i="8"/>
  <c r="U71" i="8"/>
  <c r="E71" i="8"/>
  <c r="S72" i="8"/>
  <c r="U72" i="8"/>
  <c r="E72" i="8"/>
  <c r="S73" i="8"/>
  <c r="U73" i="8"/>
  <c r="E73" i="8"/>
  <c r="Q75" i="8"/>
  <c r="N75" i="8"/>
  <c r="J75" i="8"/>
  <c r="R75" i="8"/>
  <c r="S75" i="8"/>
  <c r="U75" i="8"/>
  <c r="S45" i="8"/>
  <c r="U45" i="8"/>
  <c r="E45" i="8"/>
  <c r="S44" i="8"/>
  <c r="U44" i="8"/>
  <c r="E44" i="8"/>
  <c r="S43" i="8"/>
  <c r="U43" i="8"/>
  <c r="E43" i="8"/>
  <c r="S42" i="8"/>
  <c r="U42" i="8"/>
  <c r="E42" i="8"/>
  <c r="S41" i="8"/>
  <c r="U41" i="8"/>
  <c r="E41" i="8"/>
  <c r="S40" i="8"/>
  <c r="U40" i="8"/>
  <c r="E40" i="8"/>
  <c r="S39" i="8"/>
  <c r="U39" i="8"/>
  <c r="E39" i="8"/>
  <c r="S38" i="8"/>
  <c r="U38" i="8"/>
  <c r="E38" i="8"/>
  <c r="S36" i="8"/>
  <c r="U36" i="8"/>
  <c r="E36" i="8"/>
  <c r="S34" i="8"/>
  <c r="U34" i="8"/>
  <c r="E34" i="8"/>
  <c r="S32" i="8"/>
  <c r="U32" i="8"/>
  <c r="E32" i="8"/>
  <c r="S30" i="8"/>
  <c r="U30" i="8"/>
  <c r="E30" i="8"/>
  <c r="S28" i="8"/>
  <c r="U28" i="8"/>
  <c r="E28" i="8"/>
  <c r="S26" i="8"/>
  <c r="U26" i="8"/>
  <c r="E26" i="8"/>
  <c r="S24" i="8"/>
  <c r="U24" i="8"/>
  <c r="E24" i="8"/>
  <c r="S22" i="8"/>
  <c r="U22" i="8"/>
  <c r="E22" i="8"/>
  <c r="S20" i="8"/>
  <c r="U20" i="8"/>
  <c r="E20" i="8"/>
  <c r="S18" i="8"/>
  <c r="U18" i="8"/>
  <c r="E18" i="8"/>
  <c r="S17" i="8"/>
  <c r="U17" i="8"/>
  <c r="E17" i="8"/>
  <c r="S15" i="8"/>
  <c r="U15" i="8"/>
  <c r="E15" i="8"/>
  <c r="S13" i="8"/>
  <c r="U13" i="8"/>
  <c r="E13" i="8"/>
  <c r="S12" i="8"/>
  <c r="U12" i="8"/>
  <c r="E12" i="8"/>
  <c r="S11" i="8"/>
  <c r="U11" i="8"/>
  <c r="E11" i="8"/>
  <c r="Q10" i="8"/>
  <c r="N10" i="8"/>
  <c r="J10" i="8"/>
  <c r="S9" i="8"/>
  <c r="U9" i="8"/>
  <c r="E9" i="8"/>
  <c r="S8" i="8"/>
  <c r="U8" i="8"/>
  <c r="E8" i="8"/>
  <c r="S7" i="8"/>
  <c r="U7" i="8"/>
  <c r="E7" i="8"/>
  <c r="S6" i="8"/>
  <c r="U6" i="8"/>
  <c r="E6" i="8"/>
  <c r="S5" i="8"/>
  <c r="U5" i="8"/>
  <c r="E5" i="8"/>
  <c r="S4" i="8"/>
  <c r="U4" i="8"/>
  <c r="E4" i="8"/>
  <c r="R10" i="8"/>
  <c r="S10" i="8"/>
  <c r="U10" i="8"/>
  <c r="E10" i="8"/>
  <c r="S14" i="8"/>
  <c r="U14" i="8"/>
  <c r="E14" i="8"/>
  <c r="S16" i="8"/>
  <c r="U16" i="8"/>
  <c r="E16" i="8"/>
  <c r="S19" i="8"/>
  <c r="U19" i="8"/>
  <c r="E19" i="8"/>
  <c r="S21" i="8"/>
  <c r="U21" i="8"/>
  <c r="E21" i="8"/>
  <c r="S23" i="8"/>
  <c r="U23" i="8"/>
  <c r="E23" i="8"/>
  <c r="S25" i="8"/>
  <c r="U25" i="8"/>
  <c r="E25" i="8"/>
  <c r="S27" i="8"/>
  <c r="U27" i="8"/>
  <c r="E27" i="8"/>
  <c r="S29" i="8"/>
  <c r="U29" i="8"/>
  <c r="E29" i="8"/>
  <c r="S31" i="8"/>
  <c r="U31" i="8"/>
  <c r="E31" i="8"/>
  <c r="S33" i="8"/>
  <c r="U33" i="8"/>
  <c r="E33" i="8"/>
  <c r="S35" i="8"/>
  <c r="U35" i="8"/>
  <c r="E35" i="8"/>
  <c r="S37" i="8"/>
  <c r="U37" i="8"/>
  <c r="E37" i="8"/>
  <c r="D10" i="8"/>
  <c r="F21" i="4"/>
  <c r="E21" i="4"/>
  <c r="E15" i="4"/>
  <c r="E16" i="4"/>
  <c r="E17" i="4"/>
  <c r="E18" i="4"/>
  <c r="E19" i="4"/>
  <c r="E20" i="4"/>
  <c r="E22" i="4"/>
  <c r="E23" i="4"/>
  <c r="E25" i="4"/>
  <c r="E26" i="4"/>
  <c r="E27" i="4"/>
  <c r="E28" i="4"/>
  <c r="E29" i="4"/>
  <c r="E30" i="4"/>
  <c r="E31" i="4"/>
  <c r="E32" i="4"/>
  <c r="E33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55" i="4"/>
  <c r="E56" i="4"/>
  <c r="E57" i="4"/>
  <c r="E58" i="4"/>
  <c r="E59" i="4"/>
  <c r="E60" i="4"/>
  <c r="E61" i="4"/>
  <c r="E62" i="4"/>
  <c r="E63" i="4"/>
  <c r="E65" i="4"/>
  <c r="E66" i="4"/>
  <c r="E67" i="4"/>
  <c r="E68" i="4"/>
  <c r="E69" i="4"/>
  <c r="E70" i="4"/>
  <c r="E71" i="4"/>
  <c r="E72" i="4"/>
  <c r="E73" i="4"/>
  <c r="E75" i="4"/>
  <c r="E76" i="4"/>
  <c r="E77" i="4"/>
  <c r="E78" i="4"/>
  <c r="E79" i="4"/>
  <c r="E80" i="4"/>
  <c r="E81" i="4"/>
  <c r="E82" i="4"/>
  <c r="E83" i="4"/>
  <c r="E84" i="4"/>
  <c r="E74" i="4"/>
  <c r="E44" i="4"/>
  <c r="E64" i="4"/>
  <c r="E54" i="4"/>
  <c r="E34" i="4"/>
  <c r="E24" i="4"/>
  <c r="E14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69" i="4"/>
  <c r="A84" i="4"/>
  <c r="N71" i="4"/>
  <c r="J71" i="4"/>
  <c r="I71" i="4"/>
  <c r="N72" i="4"/>
  <c r="J72" i="4"/>
  <c r="I72" i="4"/>
  <c r="M72" i="4"/>
  <c r="N73" i="4"/>
  <c r="J73" i="4"/>
  <c r="I73" i="4"/>
  <c r="N74" i="4"/>
  <c r="J74" i="4"/>
  <c r="I74" i="4"/>
  <c r="N75" i="4"/>
  <c r="J75" i="4"/>
  <c r="I75" i="4"/>
  <c r="N76" i="4"/>
  <c r="J76" i="4"/>
  <c r="I76" i="4"/>
  <c r="M76" i="4"/>
  <c r="N77" i="4"/>
  <c r="J77" i="4"/>
  <c r="I77" i="4"/>
  <c r="N78" i="4"/>
  <c r="J78" i="4"/>
  <c r="I78" i="4"/>
  <c r="N79" i="4"/>
  <c r="J79" i="4"/>
  <c r="I79" i="4"/>
  <c r="N80" i="4"/>
  <c r="J80" i="4"/>
  <c r="I80" i="4"/>
  <c r="M80" i="4"/>
  <c r="N81" i="4"/>
  <c r="J81" i="4"/>
  <c r="I81" i="4"/>
  <c r="N82" i="4"/>
  <c r="J82" i="4"/>
  <c r="I82" i="4"/>
  <c r="N83" i="4"/>
  <c r="J83" i="4"/>
  <c r="I83" i="4"/>
  <c r="N84" i="4"/>
  <c r="J84" i="4"/>
  <c r="I84" i="4"/>
  <c r="M84" i="4"/>
  <c r="N70" i="4"/>
  <c r="J70" i="4"/>
  <c r="I70" i="4"/>
  <c r="N69" i="4"/>
  <c r="J69" i="4"/>
  <c r="I69" i="4"/>
  <c r="G84" i="4"/>
  <c r="G82" i="4"/>
  <c r="G80" i="4"/>
  <c r="G78" i="4"/>
  <c r="G76" i="4"/>
  <c r="G72" i="4"/>
  <c r="G70" i="4"/>
  <c r="G69" i="4"/>
  <c r="G83" i="4"/>
  <c r="G81" i="4"/>
  <c r="G79" i="4"/>
  <c r="G77" i="4"/>
  <c r="G75" i="4"/>
  <c r="G73" i="4"/>
  <c r="G71" i="4"/>
  <c r="M81" i="4"/>
  <c r="Q81" i="4"/>
  <c r="M77" i="4"/>
  <c r="O77" i="4"/>
  <c r="M73" i="4"/>
  <c r="Q73" i="4"/>
  <c r="M79" i="4"/>
  <c r="Q79" i="4"/>
  <c r="M75" i="4"/>
  <c r="P75" i="4"/>
  <c r="M82" i="4"/>
  <c r="Q82" i="4"/>
  <c r="M78" i="4"/>
  <c r="Q78" i="4"/>
  <c r="M74" i="4"/>
  <c r="A82" i="4"/>
  <c r="A83" i="4"/>
  <c r="M83" i="4"/>
  <c r="Q83" i="4"/>
  <c r="M71" i="4"/>
  <c r="O71" i="4"/>
  <c r="O81" i="4"/>
  <c r="O79" i="4"/>
  <c r="R79" i="4"/>
  <c r="O74" i="4"/>
  <c r="Q74" i="4"/>
  <c r="P74" i="4"/>
  <c r="R74" i="4"/>
  <c r="R71" i="4"/>
  <c r="O84" i="4"/>
  <c r="Q84" i="4"/>
  <c r="P84" i="4"/>
  <c r="R84" i="4"/>
  <c r="R82" i="4"/>
  <c r="O80" i="4"/>
  <c r="Q80" i="4"/>
  <c r="P80" i="4"/>
  <c r="R80" i="4"/>
  <c r="O78" i="4"/>
  <c r="O76" i="4"/>
  <c r="Q76" i="4"/>
  <c r="P76" i="4"/>
  <c r="R76" i="4"/>
  <c r="O72" i="4"/>
  <c r="Q72" i="4"/>
  <c r="P72" i="4"/>
  <c r="R72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M70" i="4"/>
  <c r="L70" i="4"/>
  <c r="L69" i="4"/>
  <c r="M69" i="4"/>
  <c r="O69" i="4"/>
  <c r="O75" i="4"/>
  <c r="Q77" i="4"/>
  <c r="P79" i="4"/>
  <c r="P77" i="4"/>
  <c r="R75" i="4"/>
  <c r="P81" i="4"/>
  <c r="R73" i="4"/>
  <c r="Q75" i="4"/>
  <c r="R81" i="4"/>
  <c r="P73" i="4"/>
  <c r="O73" i="4"/>
  <c r="R77" i="4"/>
  <c r="O82" i="4"/>
  <c r="R78" i="4"/>
  <c r="P78" i="4"/>
  <c r="P82" i="4"/>
  <c r="O83" i="4"/>
  <c r="A81" i="4"/>
  <c r="P83" i="4"/>
  <c r="R83" i="4"/>
  <c r="Q71" i="4"/>
  <c r="P71" i="4"/>
  <c r="O70" i="4"/>
  <c r="Q70" i="4"/>
  <c r="P70" i="4"/>
  <c r="R70" i="4"/>
  <c r="A80" i="4"/>
  <c r="A79" i="4"/>
  <c r="A78" i="4"/>
  <c r="A77" i="4"/>
  <c r="K16" i="4"/>
  <c r="K17" i="4"/>
  <c r="K18" i="4"/>
  <c r="K19" i="4"/>
  <c r="K20" i="4"/>
  <c r="K21" i="4"/>
  <c r="K22" i="4"/>
  <c r="K23" i="4"/>
  <c r="K25" i="4"/>
  <c r="K26" i="4"/>
  <c r="K27" i="4"/>
  <c r="K28" i="4"/>
  <c r="K29" i="4"/>
  <c r="K30" i="4"/>
  <c r="K31" i="4"/>
  <c r="K32" i="4"/>
  <c r="K33" i="4"/>
  <c r="K35" i="4"/>
  <c r="K36" i="4"/>
  <c r="K37" i="4"/>
  <c r="K38" i="4"/>
  <c r="K39" i="4"/>
  <c r="K40" i="4"/>
  <c r="K41" i="4"/>
  <c r="K42" i="4"/>
  <c r="K43" i="4"/>
  <c r="K45" i="4"/>
  <c r="K46" i="4"/>
  <c r="K47" i="4"/>
  <c r="K48" i="4"/>
  <c r="K49" i="4"/>
  <c r="K50" i="4"/>
  <c r="K51" i="4"/>
  <c r="K52" i="4"/>
  <c r="K53" i="4"/>
  <c r="K55" i="4"/>
  <c r="K56" i="4"/>
  <c r="K57" i="4"/>
  <c r="K58" i="4"/>
  <c r="K59" i="4"/>
  <c r="K60" i="4"/>
  <c r="K61" i="4"/>
  <c r="K62" i="4"/>
  <c r="K63" i="4"/>
  <c r="K65" i="4"/>
  <c r="K66" i="4"/>
  <c r="K67" i="4"/>
  <c r="K68" i="4"/>
  <c r="K15" i="4"/>
  <c r="A76" i="4"/>
  <c r="A75" i="4"/>
  <c r="R69" i="4"/>
  <c r="P69" i="4"/>
  <c r="Q69" i="4"/>
  <c r="A74" i="4"/>
  <c r="A73" i="4"/>
  <c r="A72" i="4"/>
  <c r="Q10" i="4"/>
  <c r="A71" i="4"/>
  <c r="B6" i="2"/>
  <c r="B5" i="2"/>
  <c r="B4" i="2"/>
  <c r="A70" i="4"/>
  <c r="A69" i="4"/>
  <c r="A68" i="4"/>
  <c r="N68" i="4"/>
  <c r="J68" i="4"/>
  <c r="I68" i="4"/>
  <c r="G68" i="4"/>
  <c r="M68" i="4"/>
  <c r="L68" i="4"/>
  <c r="A67" i="4"/>
  <c r="N67" i="4"/>
  <c r="J67" i="4"/>
  <c r="I67" i="4"/>
  <c r="G67" i="4"/>
  <c r="M67" i="4"/>
  <c r="L67" i="4"/>
  <c r="A66" i="4"/>
  <c r="N66" i="4"/>
  <c r="J66" i="4"/>
  <c r="I66" i="4"/>
  <c r="G66" i="4"/>
  <c r="Q68" i="4"/>
  <c r="P68" i="4"/>
  <c r="R68" i="4"/>
  <c r="O68" i="4"/>
  <c r="M66" i="4"/>
  <c r="L66" i="4"/>
  <c r="A65" i="4"/>
  <c r="N65" i="4"/>
  <c r="J65" i="4"/>
  <c r="I65" i="4"/>
  <c r="G65" i="4"/>
  <c r="R67" i="4"/>
  <c r="P67" i="4"/>
  <c r="Q67" i="4"/>
  <c r="O67" i="4"/>
  <c r="M65" i="4"/>
  <c r="L65" i="4"/>
  <c r="A63" i="4"/>
  <c r="N63" i="4"/>
  <c r="J63" i="4"/>
  <c r="I63" i="4"/>
  <c r="G63" i="4"/>
  <c r="P66" i="4"/>
  <c r="Q66" i="4"/>
  <c r="R66" i="4"/>
  <c r="O66" i="4"/>
  <c r="M63" i="4"/>
  <c r="L63" i="4"/>
  <c r="A62" i="4"/>
  <c r="N62" i="4"/>
  <c r="J62" i="4"/>
  <c r="I62" i="4"/>
  <c r="G62" i="4"/>
  <c r="R65" i="4"/>
  <c r="O65" i="4"/>
  <c r="P65" i="4"/>
  <c r="Q65" i="4"/>
  <c r="M62" i="4"/>
  <c r="L62" i="4"/>
  <c r="A61" i="4"/>
  <c r="N61" i="4"/>
  <c r="J61" i="4"/>
  <c r="I61" i="4"/>
  <c r="G61" i="4"/>
  <c r="Q63" i="4"/>
  <c r="O63" i="4"/>
  <c r="R63" i="4"/>
  <c r="P63" i="4"/>
  <c r="M61" i="4"/>
  <c r="L61" i="4"/>
  <c r="A60" i="4"/>
  <c r="N60" i="4"/>
  <c r="J60" i="4"/>
  <c r="I60" i="4"/>
  <c r="G60" i="4"/>
  <c r="R62" i="4"/>
  <c r="O62" i="4"/>
  <c r="P62" i="4"/>
  <c r="Q62" i="4"/>
  <c r="M60" i="4"/>
  <c r="L60" i="4"/>
  <c r="A59" i="4"/>
  <c r="N59" i="4"/>
  <c r="J59" i="4"/>
  <c r="I59" i="4"/>
  <c r="G59" i="4"/>
  <c r="P61" i="4"/>
  <c r="Q61" i="4"/>
  <c r="R61" i="4"/>
  <c r="O61" i="4"/>
  <c r="M59" i="4"/>
  <c r="L59" i="4"/>
  <c r="A58" i="4"/>
  <c r="N58" i="4"/>
  <c r="J58" i="4"/>
  <c r="I58" i="4"/>
  <c r="G58" i="4"/>
  <c r="R60" i="4"/>
  <c r="O60" i="4"/>
  <c r="P60" i="4"/>
  <c r="Q60" i="4"/>
  <c r="M58" i="4"/>
  <c r="L58" i="4"/>
  <c r="A57" i="4"/>
  <c r="N57" i="4"/>
  <c r="J57" i="4"/>
  <c r="I57" i="4"/>
  <c r="G57" i="4"/>
  <c r="Q59" i="4"/>
  <c r="P59" i="4"/>
  <c r="R59" i="4"/>
  <c r="O59" i="4"/>
  <c r="M57" i="4"/>
  <c r="L57" i="4"/>
  <c r="A56" i="4"/>
  <c r="N56" i="4"/>
  <c r="J56" i="4"/>
  <c r="I56" i="4"/>
  <c r="G56" i="4"/>
  <c r="R58" i="4"/>
  <c r="P58" i="4"/>
  <c r="Q58" i="4"/>
  <c r="O58" i="4"/>
  <c r="M56" i="4"/>
  <c r="L56" i="4"/>
  <c r="A55" i="4"/>
  <c r="N55" i="4"/>
  <c r="J55" i="4"/>
  <c r="I55" i="4"/>
  <c r="G55" i="4"/>
  <c r="P57" i="4"/>
  <c r="Q57" i="4"/>
  <c r="R57" i="4"/>
  <c r="O57" i="4"/>
  <c r="M55" i="4"/>
  <c r="L55" i="4"/>
  <c r="A53" i="4"/>
  <c r="N53" i="4"/>
  <c r="J53" i="4"/>
  <c r="I53" i="4"/>
  <c r="G53" i="4"/>
  <c r="Q56" i="4"/>
  <c r="O56" i="4"/>
  <c r="R56" i="4"/>
  <c r="P56" i="4"/>
  <c r="M53" i="4"/>
  <c r="L53" i="4"/>
  <c r="A52" i="4"/>
  <c r="N52" i="4"/>
  <c r="J52" i="4"/>
  <c r="I52" i="4"/>
  <c r="G52" i="4"/>
  <c r="R55" i="4"/>
  <c r="P55" i="4"/>
  <c r="Q55" i="4"/>
  <c r="O55" i="4"/>
  <c r="M52" i="4"/>
  <c r="L52" i="4"/>
  <c r="A51" i="4"/>
  <c r="N51" i="4"/>
  <c r="J51" i="4"/>
  <c r="I51" i="4"/>
  <c r="G51" i="4"/>
  <c r="P53" i="4"/>
  <c r="Q53" i="4"/>
  <c r="R53" i="4"/>
  <c r="O53" i="4"/>
  <c r="M51" i="4"/>
  <c r="L51" i="4"/>
  <c r="A50" i="4"/>
  <c r="N50" i="4"/>
  <c r="J50" i="4"/>
  <c r="I50" i="4"/>
  <c r="G50" i="4"/>
  <c r="R52" i="4"/>
  <c r="O52" i="4"/>
  <c r="P52" i="4"/>
  <c r="Q52" i="4"/>
  <c r="M50" i="4"/>
  <c r="L50" i="4"/>
  <c r="A49" i="4"/>
  <c r="N49" i="4"/>
  <c r="J49" i="4"/>
  <c r="I49" i="4"/>
  <c r="G49" i="4"/>
  <c r="Q51" i="4"/>
  <c r="P51" i="4"/>
  <c r="R51" i="4"/>
  <c r="O51" i="4"/>
  <c r="M49" i="4"/>
  <c r="L49" i="4"/>
  <c r="A48" i="4"/>
  <c r="N48" i="4"/>
  <c r="J48" i="4"/>
  <c r="I48" i="4"/>
  <c r="G48" i="4"/>
  <c r="R50" i="4"/>
  <c r="Q50" i="4"/>
  <c r="P50" i="4"/>
  <c r="O50" i="4"/>
  <c r="M48" i="4"/>
  <c r="L48" i="4"/>
  <c r="A47" i="4"/>
  <c r="N47" i="4"/>
  <c r="J47" i="4"/>
  <c r="I47" i="4"/>
  <c r="G47" i="4"/>
  <c r="P49" i="4"/>
  <c r="Q49" i="4"/>
  <c r="R49" i="4"/>
  <c r="O49" i="4"/>
  <c r="M47" i="4"/>
  <c r="L47" i="4"/>
  <c r="A46" i="4"/>
  <c r="N46" i="4"/>
  <c r="J46" i="4"/>
  <c r="I46" i="4"/>
  <c r="G46" i="4"/>
  <c r="R48" i="4"/>
  <c r="O48" i="4"/>
  <c r="P48" i="4"/>
  <c r="Q48" i="4"/>
  <c r="M46" i="4"/>
  <c r="L46" i="4"/>
  <c r="A45" i="4"/>
  <c r="N45" i="4"/>
  <c r="J45" i="4"/>
  <c r="I45" i="4"/>
  <c r="G45" i="4"/>
  <c r="Q47" i="4"/>
  <c r="O47" i="4"/>
  <c r="R47" i="4"/>
  <c r="P47" i="4"/>
  <c r="M45" i="4"/>
  <c r="L45" i="4"/>
  <c r="A43" i="4"/>
  <c r="N43" i="4"/>
  <c r="J43" i="4"/>
  <c r="I43" i="4"/>
  <c r="G43" i="4"/>
  <c r="R46" i="4"/>
  <c r="O46" i="4"/>
  <c r="P46" i="4"/>
  <c r="Q46" i="4"/>
  <c r="M43" i="4"/>
  <c r="L43" i="4"/>
  <c r="A42" i="4"/>
  <c r="N42" i="4"/>
  <c r="J42" i="4"/>
  <c r="I42" i="4"/>
  <c r="G42" i="4"/>
  <c r="P45" i="4"/>
  <c r="Q45" i="4"/>
  <c r="R45" i="4"/>
  <c r="O45" i="4"/>
  <c r="M42" i="4"/>
  <c r="L42" i="4"/>
  <c r="A41" i="4"/>
  <c r="N41" i="4"/>
  <c r="J41" i="4"/>
  <c r="I41" i="4"/>
  <c r="G41" i="4"/>
  <c r="R43" i="4"/>
  <c r="O43" i="4"/>
  <c r="P43" i="4"/>
  <c r="Q43" i="4"/>
  <c r="M41" i="4"/>
  <c r="L41" i="4"/>
  <c r="A40" i="4"/>
  <c r="N40" i="4"/>
  <c r="J40" i="4"/>
  <c r="I40" i="4"/>
  <c r="G40" i="4"/>
  <c r="Q42" i="4"/>
  <c r="P42" i="4"/>
  <c r="R42" i="4"/>
  <c r="O42" i="4"/>
  <c r="M40" i="4"/>
  <c r="L40" i="4"/>
  <c r="A39" i="4"/>
  <c r="N39" i="4"/>
  <c r="J39" i="4"/>
  <c r="I39" i="4"/>
  <c r="G39" i="4"/>
  <c r="R41" i="4"/>
  <c r="P41" i="4"/>
  <c r="Q41" i="4"/>
  <c r="O41" i="4"/>
  <c r="M39" i="4"/>
  <c r="L39" i="4"/>
  <c r="A38" i="4"/>
  <c r="N38" i="4"/>
  <c r="J38" i="4"/>
  <c r="I38" i="4"/>
  <c r="G38" i="4"/>
  <c r="P40" i="4"/>
  <c r="Q40" i="4"/>
  <c r="R40" i="4"/>
  <c r="O40" i="4"/>
  <c r="M38" i="4"/>
  <c r="L38" i="4"/>
  <c r="A37" i="4"/>
  <c r="N37" i="4"/>
  <c r="J37" i="4"/>
  <c r="I37" i="4"/>
  <c r="G37" i="4"/>
  <c r="R39" i="4"/>
  <c r="O39" i="4"/>
  <c r="P39" i="4"/>
  <c r="Q39" i="4"/>
  <c r="M37" i="4"/>
  <c r="L37" i="4"/>
  <c r="A36" i="4"/>
  <c r="N36" i="4"/>
  <c r="J36" i="4"/>
  <c r="I36" i="4"/>
  <c r="G36" i="4"/>
  <c r="Q38" i="4"/>
  <c r="O38" i="4"/>
  <c r="R38" i="4"/>
  <c r="P38" i="4"/>
  <c r="M36" i="4"/>
  <c r="L36" i="4"/>
  <c r="A35" i="4"/>
  <c r="N35" i="4"/>
  <c r="J35" i="4"/>
  <c r="I35" i="4"/>
  <c r="G35" i="4"/>
  <c r="R37" i="4"/>
  <c r="P37" i="4"/>
  <c r="Q37" i="4"/>
  <c r="O37" i="4"/>
  <c r="M35" i="4"/>
  <c r="L35" i="4"/>
  <c r="A33" i="4"/>
  <c r="N33" i="4"/>
  <c r="J33" i="4"/>
  <c r="I33" i="4"/>
  <c r="G33" i="4"/>
  <c r="P36" i="4"/>
  <c r="Q36" i="4"/>
  <c r="R36" i="4"/>
  <c r="O36" i="4"/>
  <c r="M33" i="4"/>
  <c r="L33" i="4"/>
  <c r="A32" i="4"/>
  <c r="N32" i="4"/>
  <c r="J32" i="4"/>
  <c r="I32" i="4"/>
  <c r="G32" i="4"/>
  <c r="R35" i="4"/>
  <c r="O35" i="4"/>
  <c r="P35" i="4"/>
  <c r="Q35" i="4"/>
  <c r="M32" i="4"/>
  <c r="L32" i="4"/>
  <c r="A31" i="4"/>
  <c r="N31" i="4"/>
  <c r="J31" i="4"/>
  <c r="I31" i="4"/>
  <c r="G31" i="4"/>
  <c r="Q33" i="4"/>
  <c r="P33" i="4"/>
  <c r="R33" i="4"/>
  <c r="O33" i="4"/>
  <c r="M31" i="4"/>
  <c r="L31" i="4"/>
  <c r="A30" i="4"/>
  <c r="N30" i="4"/>
  <c r="J30" i="4"/>
  <c r="I30" i="4"/>
  <c r="G30" i="4"/>
  <c r="R32" i="4"/>
  <c r="Q32" i="4"/>
  <c r="P32" i="4"/>
  <c r="O32" i="4"/>
  <c r="M30" i="4"/>
  <c r="L30" i="4"/>
  <c r="A29" i="4"/>
  <c r="N29" i="4"/>
  <c r="J29" i="4"/>
  <c r="I29" i="4"/>
  <c r="G29" i="4"/>
  <c r="P31" i="4"/>
  <c r="Q31" i="4"/>
  <c r="R31" i="4"/>
  <c r="O31" i="4"/>
  <c r="M29" i="4"/>
  <c r="L29" i="4"/>
  <c r="A28" i="4"/>
  <c r="N28" i="4"/>
  <c r="J28" i="4"/>
  <c r="I28" i="4"/>
  <c r="G28" i="4"/>
  <c r="R30" i="4"/>
  <c r="O30" i="4"/>
  <c r="P30" i="4"/>
  <c r="Q30" i="4"/>
  <c r="M28" i="4"/>
  <c r="L28" i="4"/>
  <c r="A27" i="4"/>
  <c r="N27" i="4"/>
  <c r="J27" i="4"/>
  <c r="I27" i="4"/>
  <c r="G27" i="4"/>
  <c r="Q29" i="4"/>
  <c r="O29" i="4"/>
  <c r="R29" i="4"/>
  <c r="P29" i="4"/>
  <c r="M27" i="4"/>
  <c r="L27" i="4"/>
  <c r="A26" i="4"/>
  <c r="N26" i="4"/>
  <c r="J26" i="4"/>
  <c r="I26" i="4"/>
  <c r="G26" i="4"/>
  <c r="R28" i="4"/>
  <c r="O28" i="4"/>
  <c r="P28" i="4"/>
  <c r="Q28" i="4"/>
  <c r="M26" i="4"/>
  <c r="L26" i="4"/>
  <c r="A25" i="4"/>
  <c r="N25" i="4"/>
  <c r="J25" i="4"/>
  <c r="I25" i="4"/>
  <c r="G25" i="4"/>
  <c r="P27" i="4"/>
  <c r="Q27" i="4"/>
  <c r="R27" i="4"/>
  <c r="O27" i="4"/>
  <c r="M25" i="4"/>
  <c r="L25" i="4"/>
  <c r="A23" i="4"/>
  <c r="N23" i="4"/>
  <c r="J23" i="4"/>
  <c r="I23" i="4"/>
  <c r="G23" i="4"/>
  <c r="R26" i="4"/>
  <c r="O26" i="4"/>
  <c r="P26" i="4"/>
  <c r="Q26" i="4"/>
  <c r="M23" i="4"/>
  <c r="L23" i="4"/>
  <c r="A22" i="4"/>
  <c r="N22" i="4"/>
  <c r="J22" i="4"/>
  <c r="I22" i="4"/>
  <c r="G22" i="4"/>
  <c r="Q25" i="4"/>
  <c r="P25" i="4"/>
  <c r="R25" i="4"/>
  <c r="O25" i="4"/>
  <c r="M22" i="4"/>
  <c r="L22" i="4"/>
  <c r="A21" i="4"/>
  <c r="N21" i="4"/>
  <c r="J21" i="4"/>
  <c r="I21" i="4"/>
  <c r="G21" i="4"/>
  <c r="R23" i="4"/>
  <c r="P23" i="4"/>
  <c r="Q23" i="4"/>
  <c r="O23" i="4"/>
  <c r="M21" i="4"/>
  <c r="L21" i="4"/>
  <c r="A20" i="4"/>
  <c r="N20" i="4"/>
  <c r="J20" i="4"/>
  <c r="I20" i="4"/>
  <c r="G20" i="4"/>
  <c r="R22" i="4"/>
  <c r="O22" i="4"/>
  <c r="P22" i="4"/>
  <c r="Q22" i="4"/>
  <c r="M20" i="4"/>
  <c r="L20" i="4"/>
  <c r="A19" i="4"/>
  <c r="N19" i="4"/>
  <c r="J19" i="4"/>
  <c r="I19" i="4"/>
  <c r="G19" i="4"/>
  <c r="O21" i="4"/>
  <c r="P21" i="4"/>
  <c r="Q21" i="4"/>
  <c r="R21" i="4"/>
  <c r="M19" i="4"/>
  <c r="L19" i="4"/>
  <c r="A18" i="4"/>
  <c r="N18" i="4"/>
  <c r="J18" i="4"/>
  <c r="I18" i="4"/>
  <c r="G18" i="4"/>
  <c r="P20" i="4"/>
  <c r="R20" i="4"/>
  <c r="Q20" i="4"/>
  <c r="O20" i="4"/>
  <c r="M18" i="4"/>
  <c r="L18" i="4"/>
  <c r="A17" i="4"/>
  <c r="N17" i="4"/>
  <c r="J17" i="4"/>
  <c r="I17" i="4"/>
  <c r="G17" i="4"/>
  <c r="Q19" i="4"/>
  <c r="O19" i="4"/>
  <c r="R19" i="4"/>
  <c r="P19" i="4"/>
  <c r="M17" i="4"/>
  <c r="L17" i="4"/>
  <c r="A16" i="4"/>
  <c r="N16" i="4"/>
  <c r="J16" i="4"/>
  <c r="I16" i="4"/>
  <c r="G16" i="4"/>
  <c r="P18" i="4"/>
  <c r="O18" i="4"/>
  <c r="Q18" i="4"/>
  <c r="R18" i="4"/>
  <c r="M16" i="4"/>
  <c r="L16" i="4"/>
  <c r="A15" i="4"/>
  <c r="N15" i="4"/>
  <c r="J15" i="4"/>
  <c r="I15" i="4"/>
  <c r="G15" i="4"/>
  <c r="P17" i="4"/>
  <c r="O17" i="4"/>
  <c r="R17" i="4"/>
  <c r="Q17" i="4"/>
  <c r="L15" i="4"/>
  <c r="M15" i="4"/>
  <c r="O16" i="4"/>
  <c r="Q16" i="4"/>
  <c r="P16" i="4"/>
  <c r="R16" i="4"/>
  <c r="R15" i="4"/>
  <c r="P15" i="4"/>
  <c r="Q11" i="4"/>
  <c r="Q15" i="4"/>
  <c r="O15" i="4"/>
</calcChain>
</file>

<file path=xl/sharedStrings.xml><?xml version="1.0" encoding="utf-8"?>
<sst xmlns="http://schemas.openxmlformats.org/spreadsheetml/2006/main" count="42" uniqueCount="36">
  <si>
    <t xml:space="preserve"> </t>
  </si>
  <si>
    <t>Summary</t>
  </si>
  <si>
    <t>CHART DATA</t>
  </si>
  <si>
    <t>VARIANCE</t>
  </si>
  <si>
    <t>ACTUAL</t>
  </si>
  <si>
    <t>data set</t>
  </si>
  <si>
    <t>rmder</t>
  </si>
  <si>
    <t>Column1</t>
  </si>
  <si>
    <t>Column2</t>
  </si>
  <si>
    <t>PERCENT COMPLETION</t>
  </si>
  <si>
    <t>NAMES</t>
  </si>
  <si>
    <t>PROGRESS</t>
  </si>
  <si>
    <t>ACHIEVED</t>
  </si>
  <si>
    <t>RANK</t>
  </si>
  <si>
    <t>MARK TO GET</t>
  </si>
  <si>
    <t>MARK OBTAIN</t>
  </si>
  <si>
    <t>PROGRESS DASHBOARD</t>
  </si>
  <si>
    <t>Column3</t>
  </si>
  <si>
    <t>Column4</t>
  </si>
  <si>
    <t>x</t>
  </si>
  <si>
    <t>star</t>
  </si>
  <si>
    <t>ticket</t>
  </si>
  <si>
    <t>goldenticket</t>
  </si>
  <si>
    <t>diamondgem</t>
  </si>
  <si>
    <t>TEAM ALPHA</t>
  </si>
  <si>
    <t>TEAM BETA</t>
  </si>
  <si>
    <t>TEAM GAMMA</t>
  </si>
  <si>
    <t>TEAM DELTA</t>
  </si>
  <si>
    <t>TEAM EPSILON</t>
  </si>
  <si>
    <t>TEAM OMICRON</t>
  </si>
  <si>
    <t>TEAM OMEGA</t>
  </si>
  <si>
    <t>RESULT</t>
  </si>
  <si>
    <t>leaderboard DASHBOARD</t>
  </si>
  <si>
    <t xml:space="preserve">current bagde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</si>
</sst>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"/>
    <numFmt numFmtId="165" formatCode="&quot;$&quot;#,##0.00"/>
    <numFmt numFmtId="166" formatCode="#,##0.0"/>
  </numFmts>
  <fonts count="30" x14ac:knownFonts="1">
    <font>
      <sz val="10"/>
      <color theme="3" tint="0.24994659260841701"/>
      <name val="Century Gothic"/>
      <family val="2"/>
      <scheme val="minor"/>
    </font>
    <font>
      <b/>
      <sz val="10"/>
      <color theme="3" tint="9.9948118533890809E-2"/>
      <name val="Tahoma"/>
      <family val="2"/>
      <scheme val="major"/>
    </font>
    <font>
      <sz val="10"/>
      <color theme="2" tint="-9.9978637043366805E-2"/>
      <name val="Century Gothic"/>
      <family val="2"/>
      <scheme val="minor"/>
    </font>
    <font>
      <sz val="24"/>
      <color theme="3" tint="0.24994659260841701"/>
      <name val="Century Gothic"/>
      <family val="2"/>
      <scheme val="minor"/>
    </font>
    <font>
      <sz val="10"/>
      <color theme="4"/>
      <name val="Tahoma"/>
      <family val="2"/>
      <scheme val="major"/>
    </font>
    <font>
      <sz val="20"/>
      <color theme="0"/>
      <name val="Tahoma"/>
      <family val="2"/>
      <scheme val="major"/>
    </font>
    <font>
      <sz val="13"/>
      <color theme="3" tint="0.24994659260841701"/>
      <name val="Tahoma"/>
      <family val="2"/>
      <scheme val="major"/>
    </font>
    <font>
      <sz val="10"/>
      <name val="Century Gothic"/>
      <family val="2"/>
      <scheme val="minor"/>
    </font>
    <font>
      <b/>
      <sz val="12"/>
      <color theme="3" tint="0.24994659260841701"/>
      <name val="Century Gothic"/>
      <family val="2"/>
      <scheme val="minor"/>
    </font>
    <font>
      <sz val="12"/>
      <color theme="3" tint="0.24994659260841701"/>
      <name val="Century Gothic"/>
      <family val="2"/>
      <scheme val="minor"/>
    </font>
    <font>
      <sz val="12"/>
      <color theme="3" tint="0.24994659260841701"/>
      <name val="Century Gothic"/>
      <family val="2"/>
      <scheme val="minor"/>
    </font>
    <font>
      <sz val="12"/>
      <color theme="7"/>
      <name val="Algerian"/>
      <family val="18"/>
    </font>
    <font>
      <sz val="12"/>
      <color rgb="FF002060"/>
      <name val="Arial Black"/>
      <family val="2"/>
    </font>
    <font>
      <sz val="12"/>
      <color rgb="FFFF0000"/>
      <name val="Algerian"/>
      <family val="5"/>
    </font>
    <font>
      <sz val="14"/>
      <color theme="0"/>
      <name val="Tahoma"/>
      <family val="2"/>
      <scheme val="major"/>
    </font>
    <font>
      <b/>
      <sz val="12"/>
      <color rgb="FF002060"/>
      <name val="Century Gothic"/>
      <family val="2"/>
      <scheme val="minor"/>
    </font>
    <font>
      <b/>
      <sz val="12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name val="Century Gothic"/>
      <family val="2"/>
      <scheme val="minor"/>
    </font>
    <font>
      <sz val="12"/>
      <color rgb="FF002060"/>
      <name val="Century Gothic"/>
      <family val="2"/>
      <scheme val="minor"/>
    </font>
    <font>
      <sz val="10"/>
      <color theme="8"/>
      <name val="Century Gothic"/>
      <family val="2"/>
      <scheme val="minor"/>
    </font>
    <font>
      <b/>
      <sz val="18"/>
      <color rgb="FFC00000"/>
      <name val="Colonna MT"/>
      <family val="5"/>
    </font>
    <font>
      <sz val="11"/>
      <name val="Century Gothic"/>
      <family val="2"/>
      <scheme val="minor"/>
    </font>
    <font>
      <sz val="12"/>
      <color theme="4"/>
      <name val="Century Gothic"/>
      <family val="2"/>
      <scheme val="minor"/>
    </font>
    <font>
      <sz val="12"/>
      <color rgb="FF002060"/>
      <name val="Century Gothic"/>
      <family val="2"/>
      <scheme val="minor"/>
    </font>
    <font>
      <sz val="26"/>
      <color rgb="FF7030A0"/>
      <name val="Playbill"/>
      <family val="5"/>
    </font>
    <font>
      <b/>
      <sz val="11"/>
      <name val="Century Gothic"/>
      <family val="2"/>
      <scheme val="minor"/>
    </font>
    <font>
      <b/>
      <sz val="12"/>
      <color theme="4"/>
      <name val="Century Gothic"/>
      <family val="2"/>
      <scheme val="minor"/>
    </font>
    <font>
      <b/>
      <sz val="14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9.9948118533890809E-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theme="2" tint="-9.9948118533890809E-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48118533890809E-2"/>
        <bgColor theme="2" tint="-9.9948118533890809E-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/>
      <diagonal/>
    </border>
    <border>
      <left/>
      <right/>
      <top style="double">
        <color theme="3" tint="9.9948118533890809E-2"/>
      </top>
      <bottom/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4" borderId="0"/>
    <xf numFmtId="0" fontId="5" fillId="3" borderId="0" applyNumberFormat="0" applyBorder="0" applyProtection="0">
      <alignment horizontal="left" vertical="center"/>
    </xf>
    <xf numFmtId="0" fontId="6" fillId="4" borderId="0" applyNumberFormat="0" applyProtection="0">
      <alignment horizontal="left"/>
    </xf>
    <xf numFmtId="0" fontId="4" fillId="4" borderId="1" applyNumberFormat="0" applyAlignment="0" applyProtection="0"/>
    <xf numFmtId="164" fontId="3" fillId="4" borderId="0" applyAlignment="0" applyProtection="0"/>
    <xf numFmtId="0" fontId="1" fillId="0" borderId="0" applyNumberFormat="0" applyFill="0" applyBorder="0" applyAlignment="0" applyProtection="0"/>
  </cellStyleXfs>
  <cellXfs count="80">
    <xf numFmtId="0" fontId="0" fillId="4" borderId="0" xfId="0"/>
    <xf numFmtId="0" fontId="2" fillId="4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4" borderId="0" xfId="0" applyAlignment="1">
      <alignment horizontal="left" vertical="center"/>
    </xf>
    <xf numFmtId="0" fontId="0" fillId="4" borderId="0" xfId="0" applyAlignment="1">
      <alignment horizontal="left"/>
    </xf>
    <xf numFmtId="165" fontId="0" fillId="4" borderId="0" xfId="0" applyNumberFormat="1" applyAlignment="1">
      <alignment horizontal="left"/>
    </xf>
    <xf numFmtId="14" fontId="0" fillId="4" borderId="0" xfId="0" applyNumberFormat="1" applyAlignment="1">
      <alignment horizontal="left"/>
    </xf>
    <xf numFmtId="0" fontId="6" fillId="4" borderId="0" xfId="2">
      <alignment horizontal="left"/>
    </xf>
    <xf numFmtId="0" fontId="5" fillId="3" borderId="0" xfId="1" applyBorder="1">
      <alignment horizontal="left" vertical="center"/>
    </xf>
    <xf numFmtId="0" fontId="4" fillId="4" borderId="1" xfId="3" applyAlignment="1">
      <alignment horizontal="left" vertical="center"/>
    </xf>
    <xf numFmtId="9" fontId="7" fillId="4" borderId="0" xfId="0" applyNumberFormat="1" applyFont="1" applyAlignment="1">
      <alignment horizontal="left" vertical="center"/>
    </xf>
    <xf numFmtId="0" fontId="4" fillId="4" borderId="1" xfId="3" applyAlignment="1"/>
    <xf numFmtId="165" fontId="0" fillId="4" borderId="0" xfId="0" quotePrefix="1" applyNumberFormat="1" applyAlignment="1">
      <alignment horizontal="left"/>
    </xf>
    <xf numFmtId="9" fontId="0" fillId="4" borderId="0" xfId="0" applyNumberFormat="1" applyAlignment="1">
      <alignment horizontal="left"/>
    </xf>
    <xf numFmtId="0" fontId="11" fillId="4" borderId="0" xfId="0" applyFont="1" applyAlignment="1">
      <alignment horizontal="left" vertical="center"/>
    </xf>
    <xf numFmtId="9" fontId="0" fillId="4" borderId="0" xfId="0" applyNumberFormat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6" fillId="5" borderId="0" xfId="2" applyFill="1">
      <alignment horizontal="left"/>
    </xf>
    <xf numFmtId="0" fontId="4" fillId="5" borderId="1" xfId="3" applyFill="1" applyAlignment="1">
      <alignment horizontal="left" vertical="center"/>
    </xf>
    <xf numFmtId="0" fontId="0" fillId="6" borderId="0" xfId="0" applyFill="1" applyAlignment="1">
      <alignment horizontal="left"/>
    </xf>
    <xf numFmtId="0" fontId="9" fillId="6" borderId="0" xfId="0" applyFont="1" applyFill="1" applyAlignment="1">
      <alignment horizontal="left" vertical="center"/>
    </xf>
    <xf numFmtId="165" fontId="9" fillId="6" borderId="0" xfId="0" applyNumberFormat="1" applyFont="1" applyFill="1" applyAlignment="1">
      <alignment horizontal="left" vertical="center"/>
    </xf>
    <xf numFmtId="165" fontId="10" fillId="6" borderId="0" xfId="0" applyNumberFormat="1" applyFont="1" applyFill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165" fontId="8" fillId="7" borderId="0" xfId="0" applyNumberFormat="1" applyFont="1" applyFill="1" applyAlignment="1">
      <alignment horizontal="left" vertical="center"/>
    </xf>
    <xf numFmtId="9" fontId="12" fillId="5" borderId="0" xfId="0" applyNumberFormat="1" applyFont="1" applyFill="1" applyAlignment="1">
      <alignment horizontal="center"/>
    </xf>
    <xf numFmtId="0" fontId="14" fillId="3" borderId="0" xfId="1" applyFont="1" applyBorder="1">
      <alignment horizontal="left" vertical="center"/>
    </xf>
    <xf numFmtId="165" fontId="15" fillId="7" borderId="3" xfId="0" applyNumberFormat="1" applyFont="1" applyFill="1" applyBorder="1" applyAlignment="1">
      <alignment horizontal="left" vertical="center"/>
    </xf>
    <xf numFmtId="165" fontId="15" fillId="7" borderId="0" xfId="0" applyNumberFormat="1" applyFont="1" applyFill="1" applyAlignment="1">
      <alignment horizontal="left" vertical="center"/>
    </xf>
    <xf numFmtId="0" fontId="18" fillId="8" borderId="0" xfId="0" applyFont="1" applyFill="1"/>
    <xf numFmtId="0" fontId="20" fillId="4" borderId="0" xfId="0" applyFont="1" applyAlignment="1">
      <alignment horizontal="left"/>
    </xf>
    <xf numFmtId="166" fontId="19" fillId="5" borderId="0" xfId="0" applyNumberFormat="1" applyFont="1" applyFill="1" applyAlignment="1">
      <alignment horizontal="left" vertical="center"/>
    </xf>
    <xf numFmtId="3" fontId="0" fillId="4" borderId="0" xfId="0" applyNumberFormat="1" applyAlignment="1">
      <alignment horizontal="left"/>
    </xf>
    <xf numFmtId="166" fontId="16" fillId="7" borderId="3" xfId="0" applyNumberFormat="1" applyFont="1" applyFill="1" applyBorder="1" applyAlignment="1">
      <alignment horizontal="left" vertical="center"/>
    </xf>
    <xf numFmtId="166" fontId="16" fillId="7" borderId="0" xfId="0" applyNumberFormat="1" applyFont="1" applyFill="1" applyAlignment="1">
      <alignment horizontal="left" vertical="center"/>
    </xf>
    <xf numFmtId="166" fontId="8" fillId="7" borderId="3" xfId="0" applyNumberFormat="1" applyFont="1" applyFill="1" applyBorder="1" applyAlignment="1">
      <alignment horizontal="left" vertical="center"/>
    </xf>
    <xf numFmtId="3" fontId="16" fillId="7" borderId="0" xfId="0" applyNumberFormat="1" applyFont="1" applyFill="1" applyAlignment="1">
      <alignment horizontal="left" vertical="center"/>
    </xf>
    <xf numFmtId="3" fontId="15" fillId="7" borderId="0" xfId="0" applyNumberFormat="1" applyFont="1" applyFill="1" applyAlignment="1">
      <alignment horizontal="left" vertical="center"/>
    </xf>
    <xf numFmtId="3" fontId="8" fillId="7" borderId="0" xfId="0" applyNumberFormat="1" applyFont="1" applyFill="1" applyAlignment="1">
      <alignment horizontal="left" vertical="center"/>
    </xf>
    <xf numFmtId="9" fontId="0" fillId="8" borderId="0" xfId="0" applyNumberFormat="1" applyFill="1" applyAlignment="1">
      <alignment horizontal="left"/>
    </xf>
    <xf numFmtId="0" fontId="4" fillId="5" borderId="1" xfId="3" applyFill="1" applyAlignment="1">
      <alignment horizontal="center" vertical="center"/>
    </xf>
    <xf numFmtId="3" fontId="21" fillId="5" borderId="0" xfId="0" applyNumberFormat="1" applyFont="1" applyFill="1" applyAlignment="1">
      <alignment horizontal="left" vertical="center"/>
    </xf>
    <xf numFmtId="0" fontId="18" fillId="8" borderId="4" xfId="0" applyFont="1" applyFill="1" applyBorder="1"/>
    <xf numFmtId="0" fontId="22" fillId="8" borderId="1" xfId="3" applyFont="1" applyFill="1" applyAlignment="1">
      <alignment horizontal="center" vertical="center"/>
    </xf>
    <xf numFmtId="166" fontId="23" fillId="5" borderId="1" xfId="3" applyNumberFormat="1" applyFont="1" applyFill="1" applyAlignment="1">
      <alignment horizontal="left" vertical="center"/>
    </xf>
    <xf numFmtId="0" fontId="22" fillId="8" borderId="0" xfId="0" applyFont="1" applyFill="1"/>
    <xf numFmtId="166" fontId="24" fillId="5" borderId="0" xfId="0" applyNumberFormat="1" applyFont="1" applyFill="1" applyAlignment="1">
      <alignment horizontal="left" vertical="center"/>
    </xf>
    <xf numFmtId="165" fontId="23" fillId="9" borderId="1" xfId="3" applyNumberFormat="1" applyFont="1" applyFill="1" applyAlignment="1">
      <alignment horizontal="left" vertical="center"/>
    </xf>
    <xf numFmtId="165" fontId="24" fillId="9" borderId="0" xfId="0" applyNumberFormat="1" applyFont="1" applyFill="1" applyAlignment="1">
      <alignment horizontal="left" vertical="center"/>
    </xf>
    <xf numFmtId="166" fontId="24" fillId="9" borderId="0" xfId="0" applyNumberFormat="1" applyFont="1" applyFill="1" applyAlignment="1">
      <alignment horizontal="left" vertical="center"/>
    </xf>
    <xf numFmtId="3" fontId="25" fillId="5" borderId="0" xfId="0" applyNumberFormat="1" applyFont="1" applyFill="1" applyAlignment="1">
      <alignment horizontal="left" vertical="center"/>
    </xf>
    <xf numFmtId="0" fontId="26" fillId="9" borderId="1" xfId="3" applyFont="1" applyFill="1" applyAlignment="1">
      <alignment horizontal="left" vertical="center"/>
    </xf>
    <xf numFmtId="165" fontId="27" fillId="9" borderId="1" xfId="3" applyNumberFormat="1" applyFont="1" applyFill="1" applyAlignment="1">
      <alignment horizontal="left" vertical="center"/>
    </xf>
    <xf numFmtId="0" fontId="26" fillId="9" borderId="0" xfId="0" applyFont="1" applyFill="1" applyAlignment="1">
      <alignment horizontal="left" vertical="center"/>
    </xf>
    <xf numFmtId="0" fontId="26" fillId="9" borderId="0" xfId="0" applyFont="1" applyFill="1"/>
    <xf numFmtId="0" fontId="0" fillId="10" borderId="3" xfId="0" applyFont="1" applyFill="1" applyBorder="1" applyAlignment="1">
      <alignment horizontal="left"/>
    </xf>
    <xf numFmtId="0" fontId="26" fillId="9" borderId="4" xfId="0" applyFont="1" applyFill="1" applyBorder="1"/>
    <xf numFmtId="0" fontId="26" fillId="9" borderId="4" xfId="0" applyFont="1" applyFill="1" applyBorder="1" applyAlignment="1">
      <alignment horizontal="left" vertical="center"/>
    </xf>
    <xf numFmtId="0" fontId="26" fillId="9" borderId="4" xfId="3" applyFont="1" applyFill="1" applyBorder="1" applyAlignment="1">
      <alignment horizontal="left" vertical="center"/>
    </xf>
    <xf numFmtId="0" fontId="28" fillId="9" borderId="5" xfId="0" applyFont="1" applyFill="1" applyBorder="1"/>
    <xf numFmtId="0" fontId="29" fillId="9" borderId="5" xfId="0" applyFont="1" applyFill="1" applyBorder="1"/>
    <xf numFmtId="0" fontId="29" fillId="11" borderId="7" xfId="0" applyFont="1" applyFill="1" applyBorder="1"/>
    <xf numFmtId="0" fontId="29" fillId="4" borderId="7" xfId="0" applyFont="1" applyBorder="1"/>
    <xf numFmtId="0" fontId="29" fillId="4" borderId="8" xfId="0" applyFont="1" applyBorder="1"/>
    <xf numFmtId="0" fontId="29" fillId="12" borderId="8" xfId="0" applyFont="1" applyFill="1" applyBorder="1"/>
    <xf numFmtId="0" fontId="29" fillId="13" borderId="8" xfId="0" applyFont="1" applyFill="1" applyBorder="1"/>
    <xf numFmtId="0" fontId="29" fillId="14" borderId="8" xfId="0" applyFont="1" applyFill="1" applyBorder="1"/>
    <xf numFmtId="0" fontId="29" fillId="15" borderId="7" xfId="0" applyFont="1" applyFill="1" applyBorder="1"/>
    <xf numFmtId="0" fontId="29" fillId="12" borderId="7" xfId="0" applyFont="1" applyFill="1" applyBorder="1"/>
    <xf numFmtId="0" fontId="29" fillId="13" borderId="7" xfId="0" applyFont="1" applyFill="1" applyBorder="1"/>
    <xf numFmtId="0" fontId="29" fillId="14" borderId="7" xfId="0" applyFont="1" applyFill="1" applyBorder="1"/>
    <xf numFmtId="0" fontId="26" fillId="9" borderId="0" xfId="3" applyFont="1" applyFill="1" applyBorder="1" applyAlignment="1">
      <alignment horizontal="left" vertical="center"/>
    </xf>
    <xf numFmtId="0" fontId="18" fillId="8" borderId="0" xfId="0" applyFont="1" applyFill="1" applyBorder="1"/>
    <xf numFmtId="0" fontId="0" fillId="10" borderId="0" xfId="0" applyFont="1" applyFill="1" applyBorder="1" applyAlignment="1">
      <alignment horizontal="left"/>
    </xf>
    <xf numFmtId="0" fontId="29" fillId="15" borderId="8" xfId="0" applyFont="1" applyFill="1" applyBorder="1"/>
    <xf numFmtId="9" fontId="29" fillId="9" borderId="5" xfId="0" applyNumberFormat="1" applyFont="1" applyFill="1" applyBorder="1"/>
    <xf numFmtId="9" fontId="29" fillId="9" borderId="6" xfId="0" applyNumberFormat="1" applyFont="1" applyFill="1" applyBorder="1"/>
    <xf numFmtId="9" fontId="29" fillId="9" borderId="7" xfId="0" applyNumberFormat="1" applyFont="1" applyFill="1" applyBorder="1"/>
    <xf numFmtId="0" fontId="13" fillId="4" borderId="0" xfId="0" applyFont="1" applyAlignment="1">
      <alignment horizontal="center" vertical="center"/>
    </xf>
  </cellXfs>
  <cellStyles count="6"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Title" xfId="1" builtinId="15" customBuiltin="1"/>
  </cellStyles>
  <dxfs count="31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z val="12"/>
        <color rgb="FF7030A0"/>
        <name val="Century Gothic"/>
        <scheme val="minor"/>
      </font>
      <numFmt numFmtId="3" formatCode="#,##0"/>
      <fill>
        <patternFill patternType="solid">
          <fgColor indexed="64"/>
          <bgColor theme="7" tint="0.59999389629810485"/>
        </patternFill>
      </fill>
      <alignment horizontal="left" vertical="center" textRotation="0" wrapText="0" indent="0" justifyLastLine="0" shrinkToFit="0" readingOrder="0"/>
    </dxf>
    <dxf>
      <font>
        <sz val="12"/>
        <color rgb="FF002060"/>
        <name val="Century Gothic"/>
        <scheme val="minor"/>
      </font>
      <numFmt numFmtId="166" formatCode="#,##0.0"/>
      <fill>
        <patternFill patternType="solid">
          <fgColor indexed="64"/>
          <bgColor theme="7" tint="0.59999389629810485"/>
        </patternFill>
      </fill>
      <alignment horizontal="left" vertical="center" textRotation="0" wrapText="0" indent="0" justifyLastLine="0" shrinkToFit="0" readingOrder="0"/>
    </dxf>
    <dxf>
      <font>
        <b/>
        <sz val="18"/>
        <color rgb="FFC00000"/>
        <name val="Colonna MT"/>
        <scheme val="none"/>
      </font>
      <numFmt numFmtId="3" formatCode="#,##0"/>
      <fill>
        <patternFill patternType="solid">
          <fgColor indexed="64"/>
          <bgColor theme="7" tint="0.5999938962981048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minor"/>
      </font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0.24994659260841701"/>
        <name val="Century Gothic"/>
        <scheme val="minor"/>
      </font>
      <fill>
        <patternFill patternType="solid">
          <fgColor indexed="64"/>
          <bgColor theme="7" tint="0.59999389629810485"/>
        </patternFill>
      </fill>
      <alignment horizontal="left" vertical="bottom" textRotation="0" wrapText="0" indent="0" justifyLastLine="0" shrinkToFit="0" readingOrder="0"/>
    </dxf>
    <dxf>
      <font>
        <sz val="12"/>
        <name val="Century Gothic"/>
        <scheme val="minor"/>
      </font>
      <fill>
        <patternFill patternType="solid">
          <fgColor indexed="64"/>
          <bgColor theme="7" tint="0.59999389629810485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7" tint="0.59999389629810485"/>
        </patternFill>
      </fill>
    </dxf>
    <dxf>
      <alignment horizontal="left" vertical="bottom" textRotation="0" wrapText="0" indent="0" justifyLastLine="0" shrinkToFit="0" readingOrder="0"/>
    </dxf>
    <dxf>
      <font>
        <sz val="12"/>
        <name val="Century Gothic"/>
        <scheme val="minor"/>
      </font>
      <numFmt numFmtId="165" formatCode="&quot;$&quot;#,##0.00"/>
      <fill>
        <patternFill patternType="solid">
          <fgColor indexed="64"/>
          <bgColor theme="6" tint="0.39997558519241921"/>
        </patternFill>
      </fill>
      <alignment horizontal="left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z val="12"/>
        <name val="Century Gothic"/>
        <scheme val="minor"/>
      </font>
      <numFmt numFmtId="165" formatCode="&quot;$&quot;#,##0.00"/>
      <fill>
        <patternFill patternType="solid">
          <fgColor indexed="64"/>
          <bgColor theme="6" tint="0.39997558519241921"/>
        </patternFill>
      </fill>
      <alignment horizontal="left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4659260841701"/>
        <name val="Century Gothic"/>
        <scheme val="minor"/>
      </font>
      <fill>
        <patternFill patternType="solid">
          <fgColor indexed="64"/>
          <bgColor theme="6" tint="0.39997558519241921"/>
        </patternFill>
      </fill>
      <alignment horizontal="left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z val="12"/>
        <name val="Century Gothic"/>
        <scheme val="minor"/>
      </font>
      <fill>
        <patternFill patternType="solid">
          <fgColor indexed="64"/>
          <bgColor theme="6" tint="0.399975585192419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0.24994659260841701"/>
        <name val="Century Gothic"/>
        <scheme val="minor"/>
      </font>
      <alignment horizontal="left" vertical="bottom" textRotation="0" wrapText="0" indent="0" justifyLastLine="0" shrinkToFit="0" readingOrder="0"/>
    </dxf>
    <dxf>
      <font>
        <sz val="12"/>
        <name val="Century Gothic"/>
        <scheme val="minor"/>
      </font>
      <fill>
        <patternFill patternType="solid">
          <fgColor indexed="64"/>
          <bgColor theme="6" tint="0.39997558519241921"/>
        </patternFill>
      </fill>
      <alignment horizontal="left" vertical="center" textRotation="0" wrapText="0" indent="0" justifyLastLine="0" shrinkToFit="0" readingOrder="0"/>
    </dxf>
    <dxf>
      <font>
        <color rgb="FFFF0000"/>
      </font>
    </dxf>
    <dxf>
      <font>
        <color rgb="FF00B050"/>
      </font>
    </dxf>
    <dxf>
      <font>
        <color rgb="FF7030A0"/>
      </font>
    </dxf>
    <dxf>
      <font>
        <color rgb="FF00FFFF"/>
      </font>
    </dxf>
    <dxf>
      <font>
        <color rgb="FFFF00FF"/>
      </font>
    </dxf>
    <dxf>
      <font>
        <color theme="3"/>
      </font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>
        <top style="double">
          <color theme="3" tint="9.9948118533890809E-2"/>
        </top>
      </border>
    </dxf>
    <dxf>
      <font>
        <b val="0"/>
        <i val="0"/>
        <color theme="4"/>
      </font>
      <fill>
        <patternFill patternType="solid">
          <fgColor theme="1"/>
          <bgColor theme="2" tint="-9.9948118533890809E-2"/>
        </patternFill>
      </fill>
      <border diagonalUp="0" diagonalDown="0">
        <left/>
        <right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 style="thin">
          <color theme="2" tint="-0.24994659260841701"/>
        </horizontal>
      </border>
    </dxf>
  </dxfs>
  <tableStyles count="1" defaultTableStyle="TableStyleMedium2" defaultPivotStyle="PivotStyleLight16">
    <tableStyle name="Personal budget table" pivot="0" count="3" xr9:uid="{00000000-0011-0000-FFFF-FFFF00000000}">
      <tableStyleElement type="wholeTable" dxfId="30"/>
      <tableStyleElement type="headerRow" dxfId="29"/>
      <tableStyleElement type="totalRow" dxfId="28"/>
    </tableStyle>
  </tableStyles>
  <colors>
    <mruColors>
      <color rgb="FFFF00FF"/>
      <color rgb="FF00FFFF"/>
      <color rgb="FF0BDFF5"/>
      <color rgb="FFF680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externalLink" Target="externalLinks/externalLink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clipart.org/detail/8778/platinum%20medallion" TargetMode="External" /><Relationship Id="rId3" Type="http://schemas.openxmlformats.org/officeDocument/2006/relationships/image" Target="../media/image2.jpeg" /><Relationship Id="rId7" Type="http://schemas.openxmlformats.org/officeDocument/2006/relationships/image" Target="../media/image4.png" /><Relationship Id="rId2" Type="http://schemas.openxmlformats.org/officeDocument/2006/relationships/hyperlink" Target="https://www.pngall.com/gem-png" TargetMode="External" /><Relationship Id="rId1" Type="http://schemas.openxmlformats.org/officeDocument/2006/relationships/image" Target="../media/image1.png" /><Relationship Id="rId6" Type="http://schemas.openxmlformats.org/officeDocument/2006/relationships/hyperlink" Target="https://www.flickr.com/photos/digitalartform/4069758475" TargetMode="External" /><Relationship Id="rId5" Type="http://schemas.openxmlformats.org/officeDocument/2006/relationships/image" Target="../media/image3.jpeg" /><Relationship Id="rId4" Type="http://schemas.openxmlformats.org/officeDocument/2006/relationships/hyperlink" Target="https://cs-courses.mines.edu/csci441/alltimeLeaderboard.html" TargetMode="External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 /><Relationship Id="rId1" Type="http://schemas.openxmlformats.org/officeDocument/2006/relationships/image" Target="../media/image5.emf" 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5</xdr:row>
      <xdr:rowOff>0</xdr:rowOff>
    </xdr:from>
    <xdr:to>
      <xdr:col>3</xdr:col>
      <xdr:colOff>570883</xdr:colOff>
      <xdr:row>5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flipH="1">
          <a:off x="2152650" y="1533525"/>
          <a:ext cx="494683" cy="314325"/>
        </a:xfrm>
        <a:prstGeom prst="rect">
          <a:avLst/>
        </a:prstGeom>
      </xdr:spPr>
    </xdr:pic>
    <xdr:clientData/>
  </xdr:twoCellAnchor>
  <xdr:twoCellAnchor editAs="oneCell">
    <xdr:from>
      <xdr:col>3</xdr:col>
      <xdr:colOff>85724</xdr:colOff>
      <xdr:row>3</xdr:row>
      <xdr:rowOff>85725</xdr:rowOff>
    </xdr:from>
    <xdr:to>
      <xdr:col>3</xdr:col>
      <xdr:colOff>630011</xdr:colOff>
      <xdr:row>3</xdr:row>
      <xdr:rowOff>314325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l="9677" t="13054" r="9677" b="18411"/>
        <a:stretch/>
      </xdr:blipFill>
      <xdr:spPr>
        <a:xfrm>
          <a:off x="2162174" y="847725"/>
          <a:ext cx="544287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4</xdr:row>
      <xdr:rowOff>57150</xdr:rowOff>
    </xdr:from>
    <xdr:to>
      <xdr:col>3</xdr:col>
      <xdr:colOff>628650</xdr:colOff>
      <xdr:row>4</xdr:row>
      <xdr:rowOff>306526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2143125" y="1181100"/>
          <a:ext cx="561975" cy="249376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</xdr:row>
      <xdr:rowOff>57150</xdr:rowOff>
    </xdr:from>
    <xdr:to>
      <xdr:col>3</xdr:col>
      <xdr:colOff>495300</xdr:colOff>
      <xdr:row>2</xdr:row>
      <xdr:rowOff>395980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2171700" y="400050"/>
          <a:ext cx="400050" cy="338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14</xdr:row>
          <xdr:rowOff>9525</xdr:rowOff>
        </xdr:from>
        <xdr:to>
          <xdr:col>4</xdr:col>
          <xdr:colOff>0</xdr:colOff>
          <xdr:row>14</xdr:row>
          <xdr:rowOff>390525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chievements" spid="_x0000_s7391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924425" y="435292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15</xdr:row>
          <xdr:rowOff>0</xdr:rowOff>
        </xdr:from>
        <xdr:to>
          <xdr:col>4</xdr:col>
          <xdr:colOff>9525</xdr:colOff>
          <xdr:row>16</xdr:row>
          <xdr:rowOff>28575</xdr:rowOff>
        </xdr:to>
        <xdr:pic>
          <xdr:nvPicPr>
            <xdr:cNvPr id="42" name="Picture 41">
              <a:extLst>
                <a:ext uri="{FF2B5EF4-FFF2-40B4-BE49-F238E27FC236}">
                  <a16:creationId xmlns:a16="http://schemas.microsoft.com/office/drawing/2014/main" id="{00000000-0008-0000-0100-00002A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c" spid="_x0000_s7391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933950" y="440055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16</xdr:row>
          <xdr:rowOff>0</xdr:rowOff>
        </xdr:from>
        <xdr:to>
          <xdr:col>3</xdr:col>
          <xdr:colOff>752475</xdr:colOff>
          <xdr:row>17</xdr:row>
          <xdr:rowOff>28575</xdr:rowOff>
        </xdr:to>
        <xdr:pic>
          <xdr:nvPicPr>
            <xdr:cNvPr id="55" name="Picture 54">
              <a:extLst>
                <a:ext uri="{FF2B5EF4-FFF2-40B4-BE49-F238E27FC236}">
                  <a16:creationId xmlns:a16="http://schemas.microsoft.com/office/drawing/2014/main" id="{00000000-0008-0000-0100-000037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hi" spid="_x0000_s7391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914900" y="510540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742950</xdr:colOff>
          <xdr:row>10</xdr:row>
          <xdr:rowOff>219075</xdr:rowOff>
        </xdr:from>
        <xdr:to>
          <xdr:col>6</xdr:col>
          <xdr:colOff>1390650</xdr:colOff>
          <xdr:row>11</xdr:row>
          <xdr:rowOff>247650</xdr:rowOff>
        </xdr:to>
        <xdr:pic>
          <xdr:nvPicPr>
            <xdr:cNvPr id="56" name="Picture 55">
              <a:extLst>
                <a:ext uri="{FF2B5EF4-FFF2-40B4-BE49-F238E27FC236}">
                  <a16:creationId xmlns:a16="http://schemas.microsoft.com/office/drawing/2014/main" id="{00000000-0008-0000-0100-000038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ev" spid="_x0000_s7391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705725" y="315277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</xdr:row>
          <xdr:rowOff>0</xdr:rowOff>
        </xdr:from>
        <xdr:to>
          <xdr:col>3</xdr:col>
          <xdr:colOff>647700</xdr:colOff>
          <xdr:row>19</xdr:row>
          <xdr:rowOff>28575</xdr:rowOff>
        </xdr:to>
        <xdr:pic>
          <xdr:nvPicPr>
            <xdr:cNvPr id="57" name="Picture 56">
              <a:extLst>
                <a:ext uri="{FF2B5EF4-FFF2-40B4-BE49-F238E27FC236}">
                  <a16:creationId xmlns:a16="http://schemas.microsoft.com/office/drawing/2014/main" id="{00000000-0008-0000-0100-000039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em" spid="_x0000_s7391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581025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3</xdr:col>
          <xdr:colOff>647700</xdr:colOff>
          <xdr:row>20</xdr:row>
          <xdr:rowOff>28575</xdr:rowOff>
        </xdr:to>
        <xdr:pic>
          <xdr:nvPicPr>
            <xdr:cNvPr id="58" name="Picture 57">
              <a:extLst>
                <a:ext uri="{FF2B5EF4-FFF2-40B4-BE49-F238E27FC236}">
                  <a16:creationId xmlns:a16="http://schemas.microsoft.com/office/drawing/2014/main" id="{00000000-0008-0000-0100-00003A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en" spid="_x0000_s73918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581025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</xdr:row>
          <xdr:rowOff>0</xdr:rowOff>
        </xdr:from>
        <xdr:to>
          <xdr:col>3</xdr:col>
          <xdr:colOff>647700</xdr:colOff>
          <xdr:row>20</xdr:row>
          <xdr:rowOff>381000</xdr:rowOff>
        </xdr:to>
        <xdr:pic>
          <xdr:nvPicPr>
            <xdr:cNvPr id="59" name="Picture 58">
              <a:extLst>
                <a:ext uri="{FF2B5EF4-FFF2-40B4-BE49-F238E27FC236}">
                  <a16:creationId xmlns:a16="http://schemas.microsoft.com/office/drawing/2014/main" id="{00000000-0008-0000-0100-00003B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ts" spid="_x0000_s73919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651510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3</xdr:col>
          <xdr:colOff>647700</xdr:colOff>
          <xdr:row>22</xdr:row>
          <xdr:rowOff>28575</xdr:rowOff>
        </xdr:to>
        <xdr:pic>
          <xdr:nvPicPr>
            <xdr:cNvPr id="60" name="Picture 59">
              <a:extLst>
                <a:ext uri="{FF2B5EF4-FFF2-40B4-BE49-F238E27FC236}">
                  <a16:creationId xmlns:a16="http://schemas.microsoft.com/office/drawing/2014/main" id="{00000000-0008-0000-0100-00003C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" spid="_x0000_s73920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695325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647700</xdr:colOff>
          <xdr:row>22</xdr:row>
          <xdr:rowOff>381000</xdr:rowOff>
        </xdr:to>
        <xdr:pic>
          <xdr:nvPicPr>
            <xdr:cNvPr id="61" name="Picture 60">
              <a:extLst>
                <a:ext uri="{FF2B5EF4-FFF2-40B4-BE49-F238E27FC236}">
                  <a16:creationId xmlns:a16="http://schemas.microsoft.com/office/drawing/2014/main" id="{00000000-0008-0000-0100-00003D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b" spid="_x0000_s73921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695325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</xdr:row>
          <xdr:rowOff>0</xdr:rowOff>
        </xdr:from>
        <xdr:to>
          <xdr:col>3</xdr:col>
          <xdr:colOff>647700</xdr:colOff>
          <xdr:row>25</xdr:row>
          <xdr:rowOff>28575</xdr:rowOff>
        </xdr:to>
        <xdr:pic>
          <xdr:nvPicPr>
            <xdr:cNvPr id="62" name="Picture 61">
              <a:extLst>
                <a:ext uri="{FF2B5EF4-FFF2-40B4-BE49-F238E27FC236}">
                  <a16:creationId xmlns:a16="http://schemas.microsoft.com/office/drawing/2014/main" id="{00000000-0008-0000-0100-00003E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c" spid="_x0000_s7392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736282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3</xdr:col>
          <xdr:colOff>647700</xdr:colOff>
          <xdr:row>26</xdr:row>
          <xdr:rowOff>28575</xdr:rowOff>
        </xdr:to>
        <xdr:pic>
          <xdr:nvPicPr>
            <xdr:cNvPr id="63" name="Picture 62">
              <a:extLst>
                <a:ext uri="{FF2B5EF4-FFF2-40B4-BE49-F238E27FC236}">
                  <a16:creationId xmlns:a16="http://schemas.microsoft.com/office/drawing/2014/main" id="{00000000-0008-0000-0100-00003F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d" spid="_x0000_s7392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771525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0</xdr:rowOff>
        </xdr:from>
        <xdr:to>
          <xdr:col>3</xdr:col>
          <xdr:colOff>647700</xdr:colOff>
          <xdr:row>27</xdr:row>
          <xdr:rowOff>28575</xdr:rowOff>
        </xdr:to>
        <xdr:pic>
          <xdr:nvPicPr>
            <xdr:cNvPr id="64" name="Picture 63">
              <a:extLst>
                <a:ext uri="{FF2B5EF4-FFF2-40B4-BE49-F238E27FC236}">
                  <a16:creationId xmlns:a16="http://schemas.microsoft.com/office/drawing/2014/main" id="{00000000-0008-0000-0100-000040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e" spid="_x0000_s7392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806767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</xdr:row>
          <xdr:rowOff>0</xdr:rowOff>
        </xdr:from>
        <xdr:to>
          <xdr:col>3</xdr:col>
          <xdr:colOff>647700</xdr:colOff>
          <xdr:row>27</xdr:row>
          <xdr:rowOff>381000</xdr:rowOff>
        </xdr:to>
        <xdr:pic>
          <xdr:nvPicPr>
            <xdr:cNvPr id="65" name="Picture 64">
              <a:extLst>
                <a:ext uri="{FF2B5EF4-FFF2-40B4-BE49-F238E27FC236}">
                  <a16:creationId xmlns:a16="http://schemas.microsoft.com/office/drawing/2014/main" id="{00000000-0008-0000-0100-000041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f" spid="_x0000_s7392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842010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</xdr:row>
          <xdr:rowOff>0</xdr:rowOff>
        </xdr:from>
        <xdr:to>
          <xdr:col>3</xdr:col>
          <xdr:colOff>647700</xdr:colOff>
          <xdr:row>29</xdr:row>
          <xdr:rowOff>28575</xdr:rowOff>
        </xdr:to>
        <xdr:pic>
          <xdr:nvPicPr>
            <xdr:cNvPr id="66" name="Picture 65">
              <a:extLst>
                <a:ext uri="{FF2B5EF4-FFF2-40B4-BE49-F238E27FC236}">
                  <a16:creationId xmlns:a16="http://schemas.microsoft.com/office/drawing/2014/main" id="{00000000-0008-0000-0100-000042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g" spid="_x0000_s7392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893445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</xdr:row>
          <xdr:rowOff>0</xdr:rowOff>
        </xdr:from>
        <xdr:to>
          <xdr:col>3</xdr:col>
          <xdr:colOff>647700</xdr:colOff>
          <xdr:row>30</xdr:row>
          <xdr:rowOff>28575</xdr:rowOff>
        </xdr:to>
        <xdr:pic>
          <xdr:nvPicPr>
            <xdr:cNvPr id="67" name="Picture 66">
              <a:extLst>
                <a:ext uri="{FF2B5EF4-FFF2-40B4-BE49-F238E27FC236}">
                  <a16:creationId xmlns:a16="http://schemas.microsoft.com/office/drawing/2014/main" id="{00000000-0008-0000-0100-000043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h" spid="_x0000_s7392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928687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</xdr:row>
          <xdr:rowOff>0</xdr:rowOff>
        </xdr:from>
        <xdr:to>
          <xdr:col>3</xdr:col>
          <xdr:colOff>647700</xdr:colOff>
          <xdr:row>30</xdr:row>
          <xdr:rowOff>381000</xdr:rowOff>
        </xdr:to>
        <xdr:pic>
          <xdr:nvPicPr>
            <xdr:cNvPr id="68" name="Picture 67">
              <a:extLst>
                <a:ext uri="{FF2B5EF4-FFF2-40B4-BE49-F238E27FC236}">
                  <a16:creationId xmlns:a16="http://schemas.microsoft.com/office/drawing/2014/main" id="{00000000-0008-0000-0100-000044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i" spid="_x0000_s73928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963930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</xdr:row>
          <xdr:rowOff>0</xdr:rowOff>
        </xdr:from>
        <xdr:to>
          <xdr:col>3</xdr:col>
          <xdr:colOff>647700</xdr:colOff>
          <xdr:row>32</xdr:row>
          <xdr:rowOff>28575</xdr:rowOff>
        </xdr:to>
        <xdr:pic>
          <xdr:nvPicPr>
            <xdr:cNvPr id="69" name="Picture 68">
              <a:extLst>
                <a:ext uri="{FF2B5EF4-FFF2-40B4-BE49-F238E27FC236}">
                  <a16:creationId xmlns:a16="http://schemas.microsoft.com/office/drawing/2014/main" id="{00000000-0008-0000-0100-000045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j" spid="_x0000_s73929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080135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32</xdr:row>
          <xdr:rowOff>0</xdr:rowOff>
        </xdr:from>
        <xdr:to>
          <xdr:col>3</xdr:col>
          <xdr:colOff>647700</xdr:colOff>
          <xdr:row>33</xdr:row>
          <xdr:rowOff>28575</xdr:rowOff>
        </xdr:to>
        <xdr:pic>
          <xdr:nvPicPr>
            <xdr:cNvPr id="70" name="Picture 69">
              <a:extLst>
                <a:ext uri="{FF2B5EF4-FFF2-40B4-BE49-F238E27FC236}">
                  <a16:creationId xmlns:a16="http://schemas.microsoft.com/office/drawing/2014/main" id="{00000000-0008-0000-0100-000046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k" spid="_x0000_s73930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115377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</xdr:row>
          <xdr:rowOff>0</xdr:rowOff>
        </xdr:from>
        <xdr:to>
          <xdr:col>3</xdr:col>
          <xdr:colOff>647700</xdr:colOff>
          <xdr:row>35</xdr:row>
          <xdr:rowOff>28575</xdr:rowOff>
        </xdr:to>
        <xdr:pic>
          <xdr:nvPicPr>
            <xdr:cNvPr id="71" name="Picture 70">
              <a:extLst>
                <a:ext uri="{FF2B5EF4-FFF2-40B4-BE49-F238E27FC236}">
                  <a16:creationId xmlns:a16="http://schemas.microsoft.com/office/drawing/2014/main" id="{00000000-0008-0000-0100-000047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l" spid="_x0000_s73931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185862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35</xdr:row>
          <xdr:rowOff>0</xdr:rowOff>
        </xdr:from>
        <xdr:to>
          <xdr:col>3</xdr:col>
          <xdr:colOff>647700</xdr:colOff>
          <xdr:row>36</xdr:row>
          <xdr:rowOff>28575</xdr:rowOff>
        </xdr:to>
        <xdr:pic>
          <xdr:nvPicPr>
            <xdr:cNvPr id="72" name="Picture 71">
              <a:extLst>
                <a:ext uri="{FF2B5EF4-FFF2-40B4-BE49-F238E27FC236}">
                  <a16:creationId xmlns:a16="http://schemas.microsoft.com/office/drawing/2014/main" id="{00000000-0008-0000-0100-000048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m" spid="_x0000_s7393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104900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36</xdr:row>
          <xdr:rowOff>0</xdr:rowOff>
        </xdr:from>
        <xdr:to>
          <xdr:col>3</xdr:col>
          <xdr:colOff>647700</xdr:colOff>
          <xdr:row>37</xdr:row>
          <xdr:rowOff>28575</xdr:rowOff>
        </xdr:to>
        <xdr:pic>
          <xdr:nvPicPr>
            <xdr:cNvPr id="73" name="Picture 72">
              <a:extLst>
                <a:ext uri="{FF2B5EF4-FFF2-40B4-BE49-F238E27FC236}">
                  <a16:creationId xmlns:a16="http://schemas.microsoft.com/office/drawing/2014/main" id="{00000000-0008-0000-0100-000049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n" spid="_x0000_s7393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140142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37</xdr:row>
          <xdr:rowOff>0</xdr:rowOff>
        </xdr:from>
        <xdr:to>
          <xdr:col>3</xdr:col>
          <xdr:colOff>647700</xdr:colOff>
          <xdr:row>38</xdr:row>
          <xdr:rowOff>28575</xdr:rowOff>
        </xdr:to>
        <xdr:pic>
          <xdr:nvPicPr>
            <xdr:cNvPr id="74" name="Picture 73">
              <a:extLst>
                <a:ext uri="{FF2B5EF4-FFF2-40B4-BE49-F238E27FC236}">
                  <a16:creationId xmlns:a16="http://schemas.microsoft.com/office/drawing/2014/main" id="{00000000-0008-0000-0100-00004A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o" spid="_x0000_s7393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175385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38</xdr:row>
          <xdr:rowOff>0</xdr:rowOff>
        </xdr:from>
        <xdr:to>
          <xdr:col>3</xdr:col>
          <xdr:colOff>647700</xdr:colOff>
          <xdr:row>39</xdr:row>
          <xdr:rowOff>28575</xdr:rowOff>
        </xdr:to>
        <xdr:pic>
          <xdr:nvPicPr>
            <xdr:cNvPr id="75" name="Picture 74">
              <a:extLst>
                <a:ext uri="{FF2B5EF4-FFF2-40B4-BE49-F238E27FC236}">
                  <a16:creationId xmlns:a16="http://schemas.microsoft.com/office/drawing/2014/main" id="{00000000-0008-0000-0100-00004B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p" spid="_x0000_s7393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210627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39</xdr:row>
          <xdr:rowOff>0</xdr:rowOff>
        </xdr:from>
        <xdr:to>
          <xdr:col>3</xdr:col>
          <xdr:colOff>647700</xdr:colOff>
          <xdr:row>39</xdr:row>
          <xdr:rowOff>381000</xdr:rowOff>
        </xdr:to>
        <xdr:pic>
          <xdr:nvPicPr>
            <xdr:cNvPr id="76" name="Picture 75">
              <a:extLst>
                <a:ext uri="{FF2B5EF4-FFF2-40B4-BE49-F238E27FC236}">
                  <a16:creationId xmlns:a16="http://schemas.microsoft.com/office/drawing/2014/main" id="{00000000-0008-0000-0100-00004C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q" spid="_x0000_s7393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245870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40</xdr:row>
          <xdr:rowOff>0</xdr:rowOff>
        </xdr:from>
        <xdr:to>
          <xdr:col>3</xdr:col>
          <xdr:colOff>647700</xdr:colOff>
          <xdr:row>41</xdr:row>
          <xdr:rowOff>28575</xdr:rowOff>
        </xdr:to>
        <xdr:pic>
          <xdr:nvPicPr>
            <xdr:cNvPr id="77" name="Picture 76">
              <a:extLst>
                <a:ext uri="{FF2B5EF4-FFF2-40B4-BE49-F238E27FC236}">
                  <a16:creationId xmlns:a16="http://schemas.microsoft.com/office/drawing/2014/main" id="{00000000-0008-0000-0100-00004D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r" spid="_x0000_s7393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292542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41</xdr:row>
          <xdr:rowOff>0</xdr:rowOff>
        </xdr:from>
        <xdr:to>
          <xdr:col>3</xdr:col>
          <xdr:colOff>647700</xdr:colOff>
          <xdr:row>42</xdr:row>
          <xdr:rowOff>28575</xdr:rowOff>
        </xdr:to>
        <xdr:pic>
          <xdr:nvPicPr>
            <xdr:cNvPr id="78" name="Picture 77">
              <a:extLst>
                <a:ext uri="{FF2B5EF4-FFF2-40B4-BE49-F238E27FC236}">
                  <a16:creationId xmlns:a16="http://schemas.microsoft.com/office/drawing/2014/main" id="{00000000-0008-0000-0100-00004E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s" spid="_x0000_s73938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327785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42</xdr:row>
          <xdr:rowOff>0</xdr:rowOff>
        </xdr:from>
        <xdr:to>
          <xdr:col>3</xdr:col>
          <xdr:colOff>647700</xdr:colOff>
          <xdr:row>43</xdr:row>
          <xdr:rowOff>28575</xdr:rowOff>
        </xdr:to>
        <xdr:pic>
          <xdr:nvPicPr>
            <xdr:cNvPr id="79" name="Picture 78">
              <a:extLst>
                <a:ext uri="{FF2B5EF4-FFF2-40B4-BE49-F238E27FC236}">
                  <a16:creationId xmlns:a16="http://schemas.microsoft.com/office/drawing/2014/main" id="{00000000-0008-0000-0100-00004F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t" spid="_x0000_s73939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363027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44</xdr:row>
          <xdr:rowOff>0</xdr:rowOff>
        </xdr:from>
        <xdr:to>
          <xdr:col>3</xdr:col>
          <xdr:colOff>647700</xdr:colOff>
          <xdr:row>45</xdr:row>
          <xdr:rowOff>28575</xdr:rowOff>
        </xdr:to>
        <xdr:pic>
          <xdr:nvPicPr>
            <xdr:cNvPr id="80" name="Picture 79">
              <a:extLst>
                <a:ext uri="{FF2B5EF4-FFF2-40B4-BE49-F238E27FC236}">
                  <a16:creationId xmlns:a16="http://schemas.microsoft.com/office/drawing/2014/main" id="{00000000-0008-0000-0100-000050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u" spid="_x0000_s73940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398270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45</xdr:row>
          <xdr:rowOff>0</xdr:rowOff>
        </xdr:from>
        <xdr:to>
          <xdr:col>3</xdr:col>
          <xdr:colOff>647700</xdr:colOff>
          <xdr:row>46</xdr:row>
          <xdr:rowOff>28575</xdr:rowOff>
        </xdr:to>
        <xdr:pic>
          <xdr:nvPicPr>
            <xdr:cNvPr id="81" name="Picture 80">
              <a:extLst>
                <a:ext uri="{FF2B5EF4-FFF2-40B4-BE49-F238E27FC236}">
                  <a16:creationId xmlns:a16="http://schemas.microsoft.com/office/drawing/2014/main" id="{00000000-0008-0000-0100-000051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v" spid="_x0000_s73941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433512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46</xdr:row>
          <xdr:rowOff>0</xdr:rowOff>
        </xdr:from>
        <xdr:to>
          <xdr:col>3</xdr:col>
          <xdr:colOff>647700</xdr:colOff>
          <xdr:row>47</xdr:row>
          <xdr:rowOff>28575</xdr:rowOff>
        </xdr:to>
        <xdr:pic>
          <xdr:nvPicPr>
            <xdr:cNvPr id="82" name="Picture 81">
              <a:extLst>
                <a:ext uri="{FF2B5EF4-FFF2-40B4-BE49-F238E27FC236}">
                  <a16:creationId xmlns:a16="http://schemas.microsoft.com/office/drawing/2014/main" id="{00000000-0008-0000-0100-000052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w" spid="_x0000_s7394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468755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47</xdr:row>
          <xdr:rowOff>0</xdr:rowOff>
        </xdr:from>
        <xdr:to>
          <xdr:col>3</xdr:col>
          <xdr:colOff>647700</xdr:colOff>
          <xdr:row>48</xdr:row>
          <xdr:rowOff>28575</xdr:rowOff>
        </xdr:to>
        <xdr:pic>
          <xdr:nvPicPr>
            <xdr:cNvPr id="83" name="Picture 82">
              <a:extLst>
                <a:ext uri="{FF2B5EF4-FFF2-40B4-BE49-F238E27FC236}">
                  <a16:creationId xmlns:a16="http://schemas.microsoft.com/office/drawing/2014/main" id="{00000000-0008-0000-0100-000053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x" spid="_x0000_s7394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503997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48</xdr:row>
          <xdr:rowOff>0</xdr:rowOff>
        </xdr:from>
        <xdr:to>
          <xdr:col>3</xdr:col>
          <xdr:colOff>647700</xdr:colOff>
          <xdr:row>49</xdr:row>
          <xdr:rowOff>28575</xdr:rowOff>
        </xdr:to>
        <xdr:pic>
          <xdr:nvPicPr>
            <xdr:cNvPr id="84" name="Picture 83">
              <a:extLst>
                <a:ext uri="{FF2B5EF4-FFF2-40B4-BE49-F238E27FC236}">
                  <a16:creationId xmlns:a16="http://schemas.microsoft.com/office/drawing/2014/main" id="{00000000-0008-0000-0100-000054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y" spid="_x0000_s7394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539240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49</xdr:row>
          <xdr:rowOff>0</xdr:rowOff>
        </xdr:from>
        <xdr:to>
          <xdr:col>3</xdr:col>
          <xdr:colOff>647700</xdr:colOff>
          <xdr:row>49</xdr:row>
          <xdr:rowOff>381000</xdr:rowOff>
        </xdr:to>
        <xdr:pic>
          <xdr:nvPicPr>
            <xdr:cNvPr id="85" name="Picture 84">
              <a:extLst>
                <a:ext uri="{FF2B5EF4-FFF2-40B4-BE49-F238E27FC236}">
                  <a16:creationId xmlns:a16="http://schemas.microsoft.com/office/drawing/2014/main" id="{00000000-0008-0000-0100-000055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az" spid="_x0000_s7394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574482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50</xdr:row>
          <xdr:rowOff>0</xdr:rowOff>
        </xdr:from>
        <xdr:to>
          <xdr:col>3</xdr:col>
          <xdr:colOff>647700</xdr:colOff>
          <xdr:row>51</xdr:row>
          <xdr:rowOff>28575</xdr:rowOff>
        </xdr:to>
        <xdr:pic>
          <xdr:nvPicPr>
            <xdr:cNvPr id="86" name="Picture 85">
              <a:extLst>
                <a:ext uri="{FF2B5EF4-FFF2-40B4-BE49-F238E27FC236}">
                  <a16:creationId xmlns:a16="http://schemas.microsoft.com/office/drawing/2014/main" id="{00000000-0008-0000-0100-000056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a" spid="_x0000_s7394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615440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51</xdr:row>
          <xdr:rowOff>0</xdr:rowOff>
        </xdr:from>
        <xdr:to>
          <xdr:col>3</xdr:col>
          <xdr:colOff>647700</xdr:colOff>
          <xdr:row>52</xdr:row>
          <xdr:rowOff>28575</xdr:rowOff>
        </xdr:to>
        <xdr:pic>
          <xdr:nvPicPr>
            <xdr:cNvPr id="87" name="Picture 86">
              <a:extLst>
                <a:ext uri="{FF2B5EF4-FFF2-40B4-BE49-F238E27FC236}">
                  <a16:creationId xmlns:a16="http://schemas.microsoft.com/office/drawing/2014/main" id="{00000000-0008-0000-0100-000057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b" spid="_x0000_s7394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650682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52</xdr:row>
          <xdr:rowOff>0</xdr:rowOff>
        </xdr:from>
        <xdr:to>
          <xdr:col>3</xdr:col>
          <xdr:colOff>647700</xdr:colOff>
          <xdr:row>53</xdr:row>
          <xdr:rowOff>28575</xdr:rowOff>
        </xdr:to>
        <xdr:pic>
          <xdr:nvPicPr>
            <xdr:cNvPr id="88" name="Picture 87">
              <a:extLst>
                <a:ext uri="{FF2B5EF4-FFF2-40B4-BE49-F238E27FC236}">
                  <a16:creationId xmlns:a16="http://schemas.microsoft.com/office/drawing/2014/main" id="{00000000-0008-0000-0100-000058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c" spid="_x0000_s73948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685925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54</xdr:row>
          <xdr:rowOff>0</xdr:rowOff>
        </xdr:from>
        <xdr:to>
          <xdr:col>3</xdr:col>
          <xdr:colOff>647700</xdr:colOff>
          <xdr:row>55</xdr:row>
          <xdr:rowOff>28575</xdr:rowOff>
        </xdr:to>
        <xdr:pic>
          <xdr:nvPicPr>
            <xdr:cNvPr id="89" name="Picture 88">
              <a:extLst>
                <a:ext uri="{FF2B5EF4-FFF2-40B4-BE49-F238E27FC236}">
                  <a16:creationId xmlns:a16="http://schemas.microsoft.com/office/drawing/2014/main" id="{00000000-0008-0000-0100-000059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d" spid="_x0000_s73949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721167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55</xdr:row>
          <xdr:rowOff>0</xdr:rowOff>
        </xdr:from>
        <xdr:to>
          <xdr:col>3</xdr:col>
          <xdr:colOff>647700</xdr:colOff>
          <xdr:row>56</xdr:row>
          <xdr:rowOff>28575</xdr:rowOff>
        </xdr:to>
        <xdr:pic>
          <xdr:nvPicPr>
            <xdr:cNvPr id="90" name="Picture 89">
              <a:extLst>
                <a:ext uri="{FF2B5EF4-FFF2-40B4-BE49-F238E27FC236}">
                  <a16:creationId xmlns:a16="http://schemas.microsoft.com/office/drawing/2014/main" id="{00000000-0008-0000-0100-00005A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e" spid="_x0000_s73950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756410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56</xdr:row>
          <xdr:rowOff>0</xdr:rowOff>
        </xdr:from>
        <xdr:to>
          <xdr:col>3</xdr:col>
          <xdr:colOff>647700</xdr:colOff>
          <xdr:row>57</xdr:row>
          <xdr:rowOff>28575</xdr:rowOff>
        </xdr:to>
        <xdr:pic>
          <xdr:nvPicPr>
            <xdr:cNvPr id="91" name="Picture 90">
              <a:extLst>
                <a:ext uri="{FF2B5EF4-FFF2-40B4-BE49-F238E27FC236}">
                  <a16:creationId xmlns:a16="http://schemas.microsoft.com/office/drawing/2014/main" id="{00000000-0008-0000-0100-00005B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f" spid="_x0000_s73951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791652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57</xdr:row>
          <xdr:rowOff>0</xdr:rowOff>
        </xdr:from>
        <xdr:to>
          <xdr:col>3</xdr:col>
          <xdr:colOff>647700</xdr:colOff>
          <xdr:row>58</xdr:row>
          <xdr:rowOff>28575</xdr:rowOff>
        </xdr:to>
        <xdr:pic>
          <xdr:nvPicPr>
            <xdr:cNvPr id="92" name="Picture 91">
              <a:extLst>
                <a:ext uri="{FF2B5EF4-FFF2-40B4-BE49-F238E27FC236}">
                  <a16:creationId xmlns:a16="http://schemas.microsoft.com/office/drawing/2014/main" id="{00000000-0008-0000-0100-00005C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g" spid="_x0000_s7395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826895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58</xdr:row>
          <xdr:rowOff>0</xdr:rowOff>
        </xdr:from>
        <xdr:to>
          <xdr:col>3</xdr:col>
          <xdr:colOff>647700</xdr:colOff>
          <xdr:row>59</xdr:row>
          <xdr:rowOff>28575</xdr:rowOff>
        </xdr:to>
        <xdr:pic>
          <xdr:nvPicPr>
            <xdr:cNvPr id="93" name="Picture 92">
              <a:extLst>
                <a:ext uri="{FF2B5EF4-FFF2-40B4-BE49-F238E27FC236}">
                  <a16:creationId xmlns:a16="http://schemas.microsoft.com/office/drawing/2014/main" id="{00000000-0008-0000-0100-00005D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h" spid="_x0000_s7395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862137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59</xdr:row>
          <xdr:rowOff>0</xdr:rowOff>
        </xdr:from>
        <xdr:to>
          <xdr:col>3</xdr:col>
          <xdr:colOff>647700</xdr:colOff>
          <xdr:row>60</xdr:row>
          <xdr:rowOff>19050</xdr:rowOff>
        </xdr:to>
        <xdr:pic>
          <xdr:nvPicPr>
            <xdr:cNvPr id="94" name="Picture 93">
              <a:extLst>
                <a:ext uri="{FF2B5EF4-FFF2-40B4-BE49-F238E27FC236}">
                  <a16:creationId xmlns:a16="http://schemas.microsoft.com/office/drawing/2014/main" id="{00000000-0008-0000-0100-00005E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i" spid="_x0000_s7395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897380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60</xdr:row>
          <xdr:rowOff>0</xdr:rowOff>
        </xdr:from>
        <xdr:to>
          <xdr:col>3</xdr:col>
          <xdr:colOff>647700</xdr:colOff>
          <xdr:row>61</xdr:row>
          <xdr:rowOff>28575</xdr:rowOff>
        </xdr:to>
        <xdr:pic>
          <xdr:nvPicPr>
            <xdr:cNvPr id="95" name="Picture 94">
              <a:extLst>
                <a:ext uri="{FF2B5EF4-FFF2-40B4-BE49-F238E27FC236}">
                  <a16:creationId xmlns:a16="http://schemas.microsoft.com/office/drawing/2014/main" id="{00000000-0008-0000-0100-00005F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j" spid="_x0000_s7395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940242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61</xdr:row>
          <xdr:rowOff>0</xdr:rowOff>
        </xdr:from>
        <xdr:to>
          <xdr:col>3</xdr:col>
          <xdr:colOff>647700</xdr:colOff>
          <xdr:row>62</xdr:row>
          <xdr:rowOff>28575</xdr:rowOff>
        </xdr:to>
        <xdr:pic>
          <xdr:nvPicPr>
            <xdr:cNvPr id="96" name="Picture 95">
              <a:extLst>
                <a:ext uri="{FF2B5EF4-FFF2-40B4-BE49-F238E27FC236}">
                  <a16:creationId xmlns:a16="http://schemas.microsoft.com/office/drawing/2014/main" id="{00000000-0008-0000-0100-000060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k" spid="_x0000_s7395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1975485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62</xdr:row>
          <xdr:rowOff>0</xdr:rowOff>
        </xdr:from>
        <xdr:to>
          <xdr:col>3</xdr:col>
          <xdr:colOff>647700</xdr:colOff>
          <xdr:row>63</xdr:row>
          <xdr:rowOff>28575</xdr:rowOff>
        </xdr:to>
        <xdr:pic>
          <xdr:nvPicPr>
            <xdr:cNvPr id="97" name="Picture 96">
              <a:extLst>
                <a:ext uri="{FF2B5EF4-FFF2-40B4-BE49-F238E27FC236}">
                  <a16:creationId xmlns:a16="http://schemas.microsoft.com/office/drawing/2014/main" id="{00000000-0008-0000-0100-000061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l" spid="_x0000_s7395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010727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64</xdr:row>
          <xdr:rowOff>0</xdr:rowOff>
        </xdr:from>
        <xdr:to>
          <xdr:col>3</xdr:col>
          <xdr:colOff>647700</xdr:colOff>
          <xdr:row>65</xdr:row>
          <xdr:rowOff>28575</xdr:rowOff>
        </xdr:to>
        <xdr:pic>
          <xdr:nvPicPr>
            <xdr:cNvPr id="98" name="Picture 97">
              <a:extLst>
                <a:ext uri="{FF2B5EF4-FFF2-40B4-BE49-F238E27FC236}">
                  <a16:creationId xmlns:a16="http://schemas.microsoft.com/office/drawing/2014/main" id="{00000000-0008-0000-0100-000062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m" spid="_x0000_s73958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246947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65</xdr:row>
          <xdr:rowOff>0</xdr:rowOff>
        </xdr:from>
        <xdr:to>
          <xdr:col>3</xdr:col>
          <xdr:colOff>647700</xdr:colOff>
          <xdr:row>66</xdr:row>
          <xdr:rowOff>28575</xdr:rowOff>
        </xdr:to>
        <xdr:pic>
          <xdr:nvPicPr>
            <xdr:cNvPr id="99" name="Picture 98">
              <a:extLst>
                <a:ext uri="{FF2B5EF4-FFF2-40B4-BE49-F238E27FC236}">
                  <a16:creationId xmlns:a16="http://schemas.microsoft.com/office/drawing/2014/main" id="{00000000-0008-0000-0100-000063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n" spid="_x0000_s73959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282190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66</xdr:row>
          <xdr:rowOff>0</xdr:rowOff>
        </xdr:from>
        <xdr:to>
          <xdr:col>3</xdr:col>
          <xdr:colOff>647700</xdr:colOff>
          <xdr:row>67</xdr:row>
          <xdr:rowOff>28575</xdr:rowOff>
        </xdr:to>
        <xdr:pic>
          <xdr:nvPicPr>
            <xdr:cNvPr id="100" name="Picture 99">
              <a:extLst>
                <a:ext uri="{FF2B5EF4-FFF2-40B4-BE49-F238E27FC236}">
                  <a16:creationId xmlns:a16="http://schemas.microsoft.com/office/drawing/2014/main" id="{00000000-0008-0000-0100-000064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60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317432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125</xdr:row>
          <xdr:rowOff>0</xdr:rowOff>
        </xdr:from>
        <xdr:to>
          <xdr:col>3</xdr:col>
          <xdr:colOff>647700</xdr:colOff>
          <xdr:row>126</xdr:row>
          <xdr:rowOff>28575</xdr:rowOff>
        </xdr:to>
        <xdr:pic>
          <xdr:nvPicPr>
            <xdr:cNvPr id="101" name="Picture 100">
              <a:extLst>
                <a:ext uri="{FF2B5EF4-FFF2-40B4-BE49-F238E27FC236}">
                  <a16:creationId xmlns:a16="http://schemas.microsoft.com/office/drawing/2014/main" id="{00000000-0008-0000-0100-000065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p" spid="_x0000_s73961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4396740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126</xdr:row>
          <xdr:rowOff>0</xdr:rowOff>
        </xdr:from>
        <xdr:to>
          <xdr:col>3</xdr:col>
          <xdr:colOff>647700</xdr:colOff>
          <xdr:row>127</xdr:row>
          <xdr:rowOff>28575</xdr:rowOff>
        </xdr:to>
        <xdr:pic>
          <xdr:nvPicPr>
            <xdr:cNvPr id="102" name="Picture 101">
              <a:extLst>
                <a:ext uri="{FF2B5EF4-FFF2-40B4-BE49-F238E27FC236}">
                  <a16:creationId xmlns:a16="http://schemas.microsoft.com/office/drawing/2014/main" id="{00000000-0008-0000-0100-000066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q" spid="_x0000_s7396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44319825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67</xdr:row>
          <xdr:rowOff>0</xdr:rowOff>
        </xdr:from>
        <xdr:ext cx="647700" cy="381000"/>
        <xdr:pic>
          <xdr:nvPicPr>
            <xdr:cNvPr id="158" name="Picture 157">
              <a:extLst>
                <a:ext uri="{FF2B5EF4-FFF2-40B4-BE49-F238E27FC236}">
                  <a16:creationId xmlns:a16="http://schemas.microsoft.com/office/drawing/2014/main" id="{00000000-0008-0000-0100-00009E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p" spid="_x0000_s7396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35267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83</xdr:row>
          <xdr:rowOff>0</xdr:rowOff>
        </xdr:from>
        <xdr:ext cx="647700" cy="381000"/>
        <xdr:pic>
          <xdr:nvPicPr>
            <xdr:cNvPr id="160" name="Picture 159">
              <a:extLst>
                <a:ext uri="{FF2B5EF4-FFF2-40B4-BE49-F238E27FC236}">
                  <a16:creationId xmlns:a16="http://schemas.microsoft.com/office/drawing/2014/main" id="{00000000-0008-0000-0100-0000A0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6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91655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88</xdr:row>
          <xdr:rowOff>0</xdr:rowOff>
        </xdr:from>
        <xdr:ext cx="647700" cy="381000"/>
        <xdr:pic>
          <xdr:nvPicPr>
            <xdr:cNvPr id="173" name="Picture 172">
              <a:extLst>
                <a:ext uri="{FF2B5EF4-FFF2-40B4-BE49-F238E27FC236}">
                  <a16:creationId xmlns:a16="http://schemas.microsoft.com/office/drawing/2014/main" id="{00000000-0008-0000-0100-0000AD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6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09276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88</xdr:row>
          <xdr:rowOff>0</xdr:rowOff>
        </xdr:from>
        <xdr:ext cx="647700" cy="381000"/>
        <xdr:pic>
          <xdr:nvPicPr>
            <xdr:cNvPr id="175" name="Picture 174">
              <a:extLst>
                <a:ext uri="{FF2B5EF4-FFF2-40B4-BE49-F238E27FC236}">
                  <a16:creationId xmlns:a16="http://schemas.microsoft.com/office/drawing/2014/main" id="{00000000-0008-0000-0100-0000AF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6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09276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89</xdr:row>
          <xdr:rowOff>0</xdr:rowOff>
        </xdr:from>
        <xdr:ext cx="647700" cy="381000"/>
        <xdr:pic>
          <xdr:nvPicPr>
            <xdr:cNvPr id="176" name="Picture 175">
              <a:extLst>
                <a:ext uri="{FF2B5EF4-FFF2-40B4-BE49-F238E27FC236}">
                  <a16:creationId xmlns:a16="http://schemas.microsoft.com/office/drawing/2014/main" id="{00000000-0008-0000-0100-0000B0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6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2801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104</xdr:row>
          <xdr:rowOff>0</xdr:rowOff>
        </xdr:from>
        <xdr:ext cx="647700" cy="381000"/>
        <xdr:pic>
          <xdr:nvPicPr>
            <xdr:cNvPr id="178" name="Picture 177">
              <a:extLst>
                <a:ext uri="{FF2B5EF4-FFF2-40B4-BE49-F238E27FC236}">
                  <a16:creationId xmlns:a16="http://schemas.microsoft.com/office/drawing/2014/main" id="{00000000-0008-0000-0100-0000B2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68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65664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105</xdr:row>
          <xdr:rowOff>0</xdr:rowOff>
        </xdr:from>
        <xdr:ext cx="647700" cy="381000"/>
        <xdr:pic>
          <xdr:nvPicPr>
            <xdr:cNvPr id="179" name="Picture 178">
              <a:extLst>
                <a:ext uri="{FF2B5EF4-FFF2-40B4-BE49-F238E27FC236}">
                  <a16:creationId xmlns:a16="http://schemas.microsoft.com/office/drawing/2014/main" id="{00000000-0008-0000-0100-0000B3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69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69189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105</xdr:row>
          <xdr:rowOff>0</xdr:rowOff>
        </xdr:from>
        <xdr:ext cx="647700" cy="381000"/>
        <xdr:pic>
          <xdr:nvPicPr>
            <xdr:cNvPr id="181" name="Picture 180">
              <a:extLst>
                <a:ext uri="{FF2B5EF4-FFF2-40B4-BE49-F238E27FC236}">
                  <a16:creationId xmlns:a16="http://schemas.microsoft.com/office/drawing/2014/main" id="{00000000-0008-0000-0100-0000B5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70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69189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106</xdr:row>
          <xdr:rowOff>0</xdr:rowOff>
        </xdr:from>
        <xdr:ext cx="647700" cy="381000"/>
        <xdr:pic>
          <xdr:nvPicPr>
            <xdr:cNvPr id="182" name="Picture 181">
              <a:extLst>
                <a:ext uri="{FF2B5EF4-FFF2-40B4-BE49-F238E27FC236}">
                  <a16:creationId xmlns:a16="http://schemas.microsoft.com/office/drawing/2014/main" id="{00000000-0008-0000-0100-0000B6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71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72713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106</xdr:row>
          <xdr:rowOff>0</xdr:rowOff>
        </xdr:from>
        <xdr:ext cx="647700" cy="381000"/>
        <xdr:pic>
          <xdr:nvPicPr>
            <xdr:cNvPr id="184" name="Picture 183">
              <a:extLst>
                <a:ext uri="{FF2B5EF4-FFF2-40B4-BE49-F238E27FC236}">
                  <a16:creationId xmlns:a16="http://schemas.microsoft.com/office/drawing/2014/main" id="{00000000-0008-0000-0100-0000B8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7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72713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107</xdr:row>
          <xdr:rowOff>0</xdr:rowOff>
        </xdr:from>
        <xdr:ext cx="647700" cy="381000"/>
        <xdr:pic>
          <xdr:nvPicPr>
            <xdr:cNvPr id="185" name="Picture 184">
              <a:extLst>
                <a:ext uri="{FF2B5EF4-FFF2-40B4-BE49-F238E27FC236}">
                  <a16:creationId xmlns:a16="http://schemas.microsoft.com/office/drawing/2014/main" id="{00000000-0008-0000-0100-0000B9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7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76237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107</xdr:row>
          <xdr:rowOff>0</xdr:rowOff>
        </xdr:from>
        <xdr:ext cx="647700" cy="381000"/>
        <xdr:pic>
          <xdr:nvPicPr>
            <xdr:cNvPr id="187" name="Picture 186">
              <a:extLst>
                <a:ext uri="{FF2B5EF4-FFF2-40B4-BE49-F238E27FC236}">
                  <a16:creationId xmlns:a16="http://schemas.microsoft.com/office/drawing/2014/main" id="{00000000-0008-0000-0100-0000BB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7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76237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108</xdr:row>
          <xdr:rowOff>0</xdr:rowOff>
        </xdr:from>
        <xdr:ext cx="647700" cy="381000"/>
        <xdr:pic>
          <xdr:nvPicPr>
            <xdr:cNvPr id="188" name="Picture 187">
              <a:extLst>
                <a:ext uri="{FF2B5EF4-FFF2-40B4-BE49-F238E27FC236}">
                  <a16:creationId xmlns:a16="http://schemas.microsoft.com/office/drawing/2014/main" id="{00000000-0008-0000-0100-0000BC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7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79761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108</xdr:row>
          <xdr:rowOff>0</xdr:rowOff>
        </xdr:from>
        <xdr:ext cx="647700" cy="381000"/>
        <xdr:pic>
          <xdr:nvPicPr>
            <xdr:cNvPr id="190" name="Picture 189">
              <a:extLst>
                <a:ext uri="{FF2B5EF4-FFF2-40B4-BE49-F238E27FC236}">
                  <a16:creationId xmlns:a16="http://schemas.microsoft.com/office/drawing/2014/main" id="{00000000-0008-0000-0100-0000BE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7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79761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109</xdr:row>
          <xdr:rowOff>0</xdr:rowOff>
        </xdr:from>
        <xdr:ext cx="647700" cy="381000"/>
        <xdr:pic>
          <xdr:nvPicPr>
            <xdr:cNvPr id="191" name="Picture 190">
              <a:extLst>
                <a:ext uri="{FF2B5EF4-FFF2-40B4-BE49-F238E27FC236}">
                  <a16:creationId xmlns:a16="http://schemas.microsoft.com/office/drawing/2014/main" id="{00000000-0008-0000-0100-0000BF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7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83286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109</xdr:row>
          <xdr:rowOff>0</xdr:rowOff>
        </xdr:from>
        <xdr:ext cx="647700" cy="381000"/>
        <xdr:pic>
          <xdr:nvPicPr>
            <xdr:cNvPr id="193" name="Picture 192">
              <a:extLst>
                <a:ext uri="{FF2B5EF4-FFF2-40B4-BE49-F238E27FC236}">
                  <a16:creationId xmlns:a16="http://schemas.microsoft.com/office/drawing/2014/main" id="{00000000-0008-0000-0100-0000C1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78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83286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110</xdr:row>
          <xdr:rowOff>0</xdr:rowOff>
        </xdr:from>
        <xdr:ext cx="647700" cy="381000"/>
        <xdr:pic>
          <xdr:nvPicPr>
            <xdr:cNvPr id="194" name="Picture 193">
              <a:extLst>
                <a:ext uri="{FF2B5EF4-FFF2-40B4-BE49-F238E27FC236}">
                  <a16:creationId xmlns:a16="http://schemas.microsoft.com/office/drawing/2014/main" id="{00000000-0008-0000-0100-0000C2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79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86810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68</xdr:row>
          <xdr:rowOff>0</xdr:rowOff>
        </xdr:from>
        <xdr:ext cx="647700" cy="381000"/>
        <xdr:pic>
          <xdr:nvPicPr>
            <xdr:cNvPr id="284" name="Picture 283">
              <a:extLst>
                <a:ext uri="{FF2B5EF4-FFF2-40B4-BE49-F238E27FC236}">
                  <a16:creationId xmlns:a16="http://schemas.microsoft.com/office/drawing/2014/main" id="{00000000-0008-0000-0100-00001C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q" spid="_x0000_s73980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38791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69</xdr:row>
          <xdr:rowOff>0</xdr:rowOff>
        </xdr:from>
        <xdr:ext cx="647700" cy="381000"/>
        <xdr:pic>
          <xdr:nvPicPr>
            <xdr:cNvPr id="285" name="Picture 284">
              <a:extLst>
                <a:ext uri="{FF2B5EF4-FFF2-40B4-BE49-F238E27FC236}">
                  <a16:creationId xmlns:a16="http://schemas.microsoft.com/office/drawing/2014/main" id="{00000000-0008-0000-0100-00001D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r" spid="_x0000_s73981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42316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70</xdr:row>
          <xdr:rowOff>0</xdr:rowOff>
        </xdr:from>
        <xdr:ext cx="647700" cy="381000"/>
        <xdr:pic>
          <xdr:nvPicPr>
            <xdr:cNvPr id="286" name="Picture 285">
              <a:extLst>
                <a:ext uri="{FF2B5EF4-FFF2-40B4-BE49-F238E27FC236}">
                  <a16:creationId xmlns:a16="http://schemas.microsoft.com/office/drawing/2014/main" id="{00000000-0008-0000-0100-00001E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t" spid="_x0000_s7398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45840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71</xdr:row>
          <xdr:rowOff>0</xdr:rowOff>
        </xdr:from>
        <xdr:ext cx="647700" cy="381000"/>
        <xdr:pic>
          <xdr:nvPicPr>
            <xdr:cNvPr id="287" name="Picture 286">
              <a:extLst>
                <a:ext uri="{FF2B5EF4-FFF2-40B4-BE49-F238E27FC236}">
                  <a16:creationId xmlns:a16="http://schemas.microsoft.com/office/drawing/2014/main" id="{00000000-0008-0000-0100-00001F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8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49364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71</xdr:row>
          <xdr:rowOff>0</xdr:rowOff>
        </xdr:from>
        <xdr:ext cx="647700" cy="381000"/>
        <xdr:pic>
          <xdr:nvPicPr>
            <xdr:cNvPr id="288" name="Picture 287">
              <a:extLst>
                <a:ext uri="{FF2B5EF4-FFF2-40B4-BE49-F238E27FC236}">
                  <a16:creationId xmlns:a16="http://schemas.microsoft.com/office/drawing/2014/main" id="{00000000-0008-0000-0100-000020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u" spid="_x0000_s7398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49364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72</xdr:row>
          <xdr:rowOff>0</xdr:rowOff>
        </xdr:from>
        <xdr:ext cx="647700" cy="381000"/>
        <xdr:pic>
          <xdr:nvPicPr>
            <xdr:cNvPr id="289" name="Picture 288">
              <a:extLst>
                <a:ext uri="{FF2B5EF4-FFF2-40B4-BE49-F238E27FC236}">
                  <a16:creationId xmlns:a16="http://schemas.microsoft.com/office/drawing/2014/main" id="{00000000-0008-0000-0100-000021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8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52888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72</xdr:row>
          <xdr:rowOff>0</xdr:rowOff>
        </xdr:from>
        <xdr:ext cx="647700" cy="381000"/>
        <xdr:pic>
          <xdr:nvPicPr>
            <xdr:cNvPr id="290" name="Picture 289">
              <a:extLst>
                <a:ext uri="{FF2B5EF4-FFF2-40B4-BE49-F238E27FC236}">
                  <a16:creationId xmlns:a16="http://schemas.microsoft.com/office/drawing/2014/main" id="{00000000-0008-0000-0100-000022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v" spid="_x0000_s7398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52888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74</xdr:row>
          <xdr:rowOff>0</xdr:rowOff>
        </xdr:from>
        <xdr:ext cx="647700" cy="381000"/>
        <xdr:pic>
          <xdr:nvPicPr>
            <xdr:cNvPr id="291" name="Picture 290">
              <a:extLst>
                <a:ext uri="{FF2B5EF4-FFF2-40B4-BE49-F238E27FC236}">
                  <a16:creationId xmlns:a16="http://schemas.microsoft.com/office/drawing/2014/main" id="{00000000-0008-0000-0100-000023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8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59937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74</xdr:row>
          <xdr:rowOff>0</xdr:rowOff>
        </xdr:from>
        <xdr:ext cx="647700" cy="381000"/>
        <xdr:pic>
          <xdr:nvPicPr>
            <xdr:cNvPr id="292" name="Picture 291">
              <a:extLst>
                <a:ext uri="{FF2B5EF4-FFF2-40B4-BE49-F238E27FC236}">
                  <a16:creationId xmlns:a16="http://schemas.microsoft.com/office/drawing/2014/main" id="{00000000-0008-0000-0100-000024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w" spid="_x0000_s73988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59937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75</xdr:row>
          <xdr:rowOff>0</xdr:rowOff>
        </xdr:from>
        <xdr:ext cx="647700" cy="381000"/>
        <xdr:pic>
          <xdr:nvPicPr>
            <xdr:cNvPr id="293" name="Picture 292">
              <a:extLst>
                <a:ext uri="{FF2B5EF4-FFF2-40B4-BE49-F238E27FC236}">
                  <a16:creationId xmlns:a16="http://schemas.microsoft.com/office/drawing/2014/main" id="{00000000-0008-0000-0100-000025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89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63461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75</xdr:row>
          <xdr:rowOff>0</xdr:rowOff>
        </xdr:from>
        <xdr:ext cx="647700" cy="381000"/>
        <xdr:pic>
          <xdr:nvPicPr>
            <xdr:cNvPr id="294" name="Picture 293">
              <a:extLst>
                <a:ext uri="{FF2B5EF4-FFF2-40B4-BE49-F238E27FC236}">
                  <a16:creationId xmlns:a16="http://schemas.microsoft.com/office/drawing/2014/main" id="{00000000-0008-0000-0100-000026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x" spid="_x0000_s73990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63461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76</xdr:row>
          <xdr:rowOff>0</xdr:rowOff>
        </xdr:from>
        <xdr:ext cx="647700" cy="381000"/>
        <xdr:pic>
          <xdr:nvPicPr>
            <xdr:cNvPr id="295" name="Picture 294">
              <a:extLst>
                <a:ext uri="{FF2B5EF4-FFF2-40B4-BE49-F238E27FC236}">
                  <a16:creationId xmlns:a16="http://schemas.microsoft.com/office/drawing/2014/main" id="{00000000-0008-0000-0100-000027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91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66985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76</xdr:row>
          <xdr:rowOff>0</xdr:rowOff>
        </xdr:from>
        <xdr:ext cx="647700" cy="381000"/>
        <xdr:pic>
          <xdr:nvPicPr>
            <xdr:cNvPr id="296" name="Picture 295">
              <a:extLst>
                <a:ext uri="{FF2B5EF4-FFF2-40B4-BE49-F238E27FC236}">
                  <a16:creationId xmlns:a16="http://schemas.microsoft.com/office/drawing/2014/main" id="{00000000-0008-0000-0100-000028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y" spid="_x0000_s7399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66985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77</xdr:row>
          <xdr:rowOff>0</xdr:rowOff>
        </xdr:from>
        <xdr:ext cx="647700" cy="381000"/>
        <xdr:pic>
          <xdr:nvPicPr>
            <xdr:cNvPr id="297" name="Picture 296">
              <a:extLst>
                <a:ext uri="{FF2B5EF4-FFF2-40B4-BE49-F238E27FC236}">
                  <a16:creationId xmlns:a16="http://schemas.microsoft.com/office/drawing/2014/main" id="{00000000-0008-0000-0100-000029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9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70510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77</xdr:row>
          <xdr:rowOff>0</xdr:rowOff>
        </xdr:from>
        <xdr:ext cx="647700" cy="381000"/>
        <xdr:pic>
          <xdr:nvPicPr>
            <xdr:cNvPr id="298" name="Picture 297">
              <a:extLst>
                <a:ext uri="{FF2B5EF4-FFF2-40B4-BE49-F238E27FC236}">
                  <a16:creationId xmlns:a16="http://schemas.microsoft.com/office/drawing/2014/main" id="{00000000-0008-0000-0100-00002A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z" spid="_x0000_s7399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70510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78</xdr:row>
          <xdr:rowOff>0</xdr:rowOff>
        </xdr:from>
        <xdr:ext cx="647700" cy="381000"/>
        <xdr:pic>
          <xdr:nvPicPr>
            <xdr:cNvPr id="299" name="Picture 298">
              <a:extLst>
                <a:ext uri="{FF2B5EF4-FFF2-40B4-BE49-F238E27FC236}">
                  <a16:creationId xmlns:a16="http://schemas.microsoft.com/office/drawing/2014/main" id="{00000000-0008-0000-0100-00002B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9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74034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78</xdr:row>
          <xdr:rowOff>0</xdr:rowOff>
        </xdr:from>
        <xdr:ext cx="647700" cy="381000"/>
        <xdr:pic>
          <xdr:nvPicPr>
            <xdr:cNvPr id="300" name="Picture 299">
              <a:extLst>
                <a:ext uri="{FF2B5EF4-FFF2-40B4-BE49-F238E27FC236}">
                  <a16:creationId xmlns:a16="http://schemas.microsoft.com/office/drawing/2014/main" id="{00000000-0008-0000-0100-00002C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ca" spid="_x0000_s7399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74034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79</xdr:row>
          <xdr:rowOff>0</xdr:rowOff>
        </xdr:from>
        <xdr:ext cx="647700" cy="381000"/>
        <xdr:pic>
          <xdr:nvPicPr>
            <xdr:cNvPr id="301" name="Picture 300">
              <a:extLst>
                <a:ext uri="{FF2B5EF4-FFF2-40B4-BE49-F238E27FC236}">
                  <a16:creationId xmlns:a16="http://schemas.microsoft.com/office/drawing/2014/main" id="{00000000-0008-0000-0100-00002D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399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77558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79</xdr:row>
          <xdr:rowOff>0</xdr:rowOff>
        </xdr:from>
        <xdr:ext cx="647700" cy="381000"/>
        <xdr:pic>
          <xdr:nvPicPr>
            <xdr:cNvPr id="302" name="Picture 301">
              <a:extLst>
                <a:ext uri="{FF2B5EF4-FFF2-40B4-BE49-F238E27FC236}">
                  <a16:creationId xmlns:a16="http://schemas.microsoft.com/office/drawing/2014/main" id="{00000000-0008-0000-0100-00002E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cf" spid="_x0000_s73998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77558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80</xdr:row>
          <xdr:rowOff>0</xdr:rowOff>
        </xdr:from>
        <xdr:ext cx="647700" cy="381000"/>
        <xdr:pic>
          <xdr:nvPicPr>
            <xdr:cNvPr id="303" name="Picture 302">
              <a:extLst>
                <a:ext uri="{FF2B5EF4-FFF2-40B4-BE49-F238E27FC236}">
                  <a16:creationId xmlns:a16="http://schemas.microsoft.com/office/drawing/2014/main" id="{00000000-0008-0000-0100-00002F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cb" spid="_x0000_s73999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81082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81</xdr:row>
          <xdr:rowOff>0</xdr:rowOff>
        </xdr:from>
        <xdr:ext cx="647700" cy="381000"/>
        <xdr:pic>
          <xdr:nvPicPr>
            <xdr:cNvPr id="305" name="Picture 304">
              <a:extLst>
                <a:ext uri="{FF2B5EF4-FFF2-40B4-BE49-F238E27FC236}">
                  <a16:creationId xmlns:a16="http://schemas.microsoft.com/office/drawing/2014/main" id="{00000000-0008-0000-0100-000031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00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84607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81</xdr:row>
          <xdr:rowOff>0</xdr:rowOff>
        </xdr:from>
        <xdr:ext cx="647700" cy="381000"/>
        <xdr:pic>
          <xdr:nvPicPr>
            <xdr:cNvPr id="306" name="Picture 305">
              <a:extLst>
                <a:ext uri="{FF2B5EF4-FFF2-40B4-BE49-F238E27FC236}">
                  <a16:creationId xmlns:a16="http://schemas.microsoft.com/office/drawing/2014/main" id="{00000000-0008-0000-0100-000032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cc" spid="_x0000_s74001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84607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82</xdr:row>
          <xdr:rowOff>0</xdr:rowOff>
        </xdr:from>
        <xdr:ext cx="647700" cy="381000"/>
        <xdr:pic>
          <xdr:nvPicPr>
            <xdr:cNvPr id="307" name="Picture 306">
              <a:extLst>
                <a:ext uri="{FF2B5EF4-FFF2-40B4-BE49-F238E27FC236}">
                  <a16:creationId xmlns:a16="http://schemas.microsoft.com/office/drawing/2014/main" id="{00000000-0008-0000-0100-000033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0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88131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82</xdr:row>
          <xdr:rowOff>0</xdr:rowOff>
        </xdr:from>
        <xdr:ext cx="647700" cy="381000"/>
        <xdr:pic>
          <xdr:nvPicPr>
            <xdr:cNvPr id="308" name="Picture 307">
              <a:extLst>
                <a:ext uri="{FF2B5EF4-FFF2-40B4-BE49-F238E27FC236}">
                  <a16:creationId xmlns:a16="http://schemas.microsoft.com/office/drawing/2014/main" id="{00000000-0008-0000-0100-000034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cd" spid="_x0000_s7400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288131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xdr:oneCellAnchor>
    <xdr:from>
      <xdr:col>3</xdr:col>
      <xdr:colOff>0</xdr:colOff>
      <xdr:row>83</xdr:row>
      <xdr:rowOff>0</xdr:rowOff>
    </xdr:from>
    <xdr:ext cx="647700" cy="381000"/>
    <xdr:pic>
      <xdr:nvPicPr>
        <xdr:cNvPr id="309" name="Picture 308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0125" y="29165550"/>
          <a:ext cx="647700" cy="38100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88</xdr:row>
          <xdr:rowOff>0</xdr:rowOff>
        </xdr:from>
        <xdr:ext cx="647700" cy="381000"/>
        <xdr:pic>
          <xdr:nvPicPr>
            <xdr:cNvPr id="327" name="Picture 326">
              <a:extLst>
                <a:ext uri="{FF2B5EF4-FFF2-40B4-BE49-F238E27FC236}">
                  <a16:creationId xmlns:a16="http://schemas.microsoft.com/office/drawing/2014/main" id="{00000000-0008-0000-0100-000047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0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09276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88</xdr:row>
          <xdr:rowOff>0</xdr:rowOff>
        </xdr:from>
        <xdr:ext cx="647700" cy="381000"/>
        <xdr:pic>
          <xdr:nvPicPr>
            <xdr:cNvPr id="328" name="Picture 327">
              <a:extLst>
                <a:ext uri="{FF2B5EF4-FFF2-40B4-BE49-F238E27FC236}">
                  <a16:creationId xmlns:a16="http://schemas.microsoft.com/office/drawing/2014/main" id="{00000000-0008-0000-0100-000048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0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09276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88</xdr:row>
          <xdr:rowOff>0</xdr:rowOff>
        </xdr:from>
        <xdr:ext cx="647700" cy="381000"/>
        <xdr:pic>
          <xdr:nvPicPr>
            <xdr:cNvPr id="330" name="Picture 329">
              <a:extLst>
                <a:ext uri="{FF2B5EF4-FFF2-40B4-BE49-F238E27FC236}">
                  <a16:creationId xmlns:a16="http://schemas.microsoft.com/office/drawing/2014/main" id="{00000000-0008-0000-0100-00004A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0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09276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88</xdr:row>
          <xdr:rowOff>0</xdr:rowOff>
        </xdr:from>
        <xdr:ext cx="647700" cy="381000"/>
        <xdr:pic>
          <xdr:nvPicPr>
            <xdr:cNvPr id="331" name="Picture 330">
              <a:extLst>
                <a:ext uri="{FF2B5EF4-FFF2-40B4-BE49-F238E27FC236}">
                  <a16:creationId xmlns:a16="http://schemas.microsoft.com/office/drawing/2014/main" id="{00000000-0008-0000-0100-00004B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0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09276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88</xdr:row>
          <xdr:rowOff>0</xdr:rowOff>
        </xdr:from>
        <xdr:ext cx="647700" cy="381000"/>
        <xdr:pic>
          <xdr:nvPicPr>
            <xdr:cNvPr id="332" name="Picture 331">
              <a:extLst>
                <a:ext uri="{FF2B5EF4-FFF2-40B4-BE49-F238E27FC236}">
                  <a16:creationId xmlns:a16="http://schemas.microsoft.com/office/drawing/2014/main" id="{00000000-0008-0000-0100-00004C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08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09276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89</xdr:row>
          <xdr:rowOff>0</xdr:rowOff>
        </xdr:from>
        <xdr:ext cx="647700" cy="381000"/>
        <xdr:pic>
          <xdr:nvPicPr>
            <xdr:cNvPr id="333" name="Picture 332">
              <a:extLst>
                <a:ext uri="{FF2B5EF4-FFF2-40B4-BE49-F238E27FC236}">
                  <a16:creationId xmlns:a16="http://schemas.microsoft.com/office/drawing/2014/main" id="{00000000-0008-0000-0100-00004D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09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2801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89</xdr:row>
          <xdr:rowOff>0</xdr:rowOff>
        </xdr:from>
        <xdr:ext cx="647700" cy="381000"/>
        <xdr:pic>
          <xdr:nvPicPr>
            <xdr:cNvPr id="334" name="Picture 333">
              <a:extLst>
                <a:ext uri="{FF2B5EF4-FFF2-40B4-BE49-F238E27FC236}">
                  <a16:creationId xmlns:a16="http://schemas.microsoft.com/office/drawing/2014/main" id="{00000000-0008-0000-0100-00004E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10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2801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88</xdr:row>
          <xdr:rowOff>0</xdr:rowOff>
        </xdr:from>
        <xdr:ext cx="647700" cy="381000"/>
        <xdr:pic>
          <xdr:nvPicPr>
            <xdr:cNvPr id="335" name="Picture 334">
              <a:extLst>
                <a:ext uri="{FF2B5EF4-FFF2-40B4-BE49-F238E27FC236}">
                  <a16:creationId xmlns:a16="http://schemas.microsoft.com/office/drawing/2014/main" id="{00000000-0008-0000-0100-00004F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11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09276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89</xdr:row>
          <xdr:rowOff>0</xdr:rowOff>
        </xdr:from>
        <xdr:ext cx="647700" cy="381000"/>
        <xdr:pic>
          <xdr:nvPicPr>
            <xdr:cNvPr id="336" name="Picture 335">
              <a:extLst>
                <a:ext uri="{FF2B5EF4-FFF2-40B4-BE49-F238E27FC236}">
                  <a16:creationId xmlns:a16="http://schemas.microsoft.com/office/drawing/2014/main" id="{00000000-0008-0000-0100-000050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1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2801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89</xdr:row>
          <xdr:rowOff>0</xdr:rowOff>
        </xdr:from>
        <xdr:ext cx="647700" cy="381000"/>
        <xdr:pic>
          <xdr:nvPicPr>
            <xdr:cNvPr id="337" name="Picture 336">
              <a:extLst>
                <a:ext uri="{FF2B5EF4-FFF2-40B4-BE49-F238E27FC236}">
                  <a16:creationId xmlns:a16="http://schemas.microsoft.com/office/drawing/2014/main" id="{00000000-0008-0000-0100-000051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1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2801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89</xdr:row>
          <xdr:rowOff>0</xdr:rowOff>
        </xdr:from>
        <xdr:ext cx="647700" cy="381000"/>
        <xdr:pic>
          <xdr:nvPicPr>
            <xdr:cNvPr id="338" name="Picture 337">
              <a:extLst>
                <a:ext uri="{FF2B5EF4-FFF2-40B4-BE49-F238E27FC236}">
                  <a16:creationId xmlns:a16="http://schemas.microsoft.com/office/drawing/2014/main" id="{00000000-0008-0000-0100-000052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1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2801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90</xdr:row>
          <xdr:rowOff>0</xdr:rowOff>
        </xdr:from>
        <xdr:ext cx="647700" cy="381000"/>
        <xdr:pic>
          <xdr:nvPicPr>
            <xdr:cNvPr id="339" name="Picture 338">
              <a:extLst>
                <a:ext uri="{FF2B5EF4-FFF2-40B4-BE49-F238E27FC236}">
                  <a16:creationId xmlns:a16="http://schemas.microsoft.com/office/drawing/2014/main" id="{00000000-0008-0000-0100-000053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1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6325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90</xdr:row>
          <xdr:rowOff>0</xdr:rowOff>
        </xdr:from>
        <xdr:ext cx="647700" cy="381000"/>
        <xdr:pic>
          <xdr:nvPicPr>
            <xdr:cNvPr id="340" name="Picture 339">
              <a:extLst>
                <a:ext uri="{FF2B5EF4-FFF2-40B4-BE49-F238E27FC236}">
                  <a16:creationId xmlns:a16="http://schemas.microsoft.com/office/drawing/2014/main" id="{00000000-0008-0000-0100-000054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1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6325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89</xdr:row>
          <xdr:rowOff>0</xdr:rowOff>
        </xdr:from>
        <xdr:ext cx="647700" cy="381000"/>
        <xdr:pic>
          <xdr:nvPicPr>
            <xdr:cNvPr id="341" name="Picture 340">
              <a:extLst>
                <a:ext uri="{FF2B5EF4-FFF2-40B4-BE49-F238E27FC236}">
                  <a16:creationId xmlns:a16="http://schemas.microsoft.com/office/drawing/2014/main" id="{00000000-0008-0000-0100-000055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1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2801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90</xdr:row>
          <xdr:rowOff>0</xdr:rowOff>
        </xdr:from>
        <xdr:ext cx="647700" cy="381000"/>
        <xdr:pic>
          <xdr:nvPicPr>
            <xdr:cNvPr id="342" name="Picture 341">
              <a:extLst>
                <a:ext uri="{FF2B5EF4-FFF2-40B4-BE49-F238E27FC236}">
                  <a16:creationId xmlns:a16="http://schemas.microsoft.com/office/drawing/2014/main" id="{00000000-0008-0000-0100-000056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18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6325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90</xdr:row>
          <xdr:rowOff>0</xdr:rowOff>
        </xdr:from>
        <xdr:ext cx="647700" cy="381000"/>
        <xdr:pic>
          <xdr:nvPicPr>
            <xdr:cNvPr id="343" name="Picture 342">
              <a:extLst>
                <a:ext uri="{FF2B5EF4-FFF2-40B4-BE49-F238E27FC236}">
                  <a16:creationId xmlns:a16="http://schemas.microsoft.com/office/drawing/2014/main" id="{00000000-0008-0000-0100-000057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19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6325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90</xdr:row>
          <xdr:rowOff>0</xdr:rowOff>
        </xdr:from>
        <xdr:ext cx="647700" cy="381000"/>
        <xdr:pic>
          <xdr:nvPicPr>
            <xdr:cNvPr id="344" name="Picture 343">
              <a:extLst>
                <a:ext uri="{FF2B5EF4-FFF2-40B4-BE49-F238E27FC236}">
                  <a16:creationId xmlns:a16="http://schemas.microsoft.com/office/drawing/2014/main" id="{00000000-0008-0000-0100-000058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20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6325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91</xdr:row>
          <xdr:rowOff>0</xdr:rowOff>
        </xdr:from>
        <xdr:ext cx="647700" cy="381000"/>
        <xdr:pic>
          <xdr:nvPicPr>
            <xdr:cNvPr id="345" name="Picture 344">
              <a:extLst>
                <a:ext uri="{FF2B5EF4-FFF2-40B4-BE49-F238E27FC236}">
                  <a16:creationId xmlns:a16="http://schemas.microsoft.com/office/drawing/2014/main" id="{00000000-0008-0000-0100-000059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21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9849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91</xdr:row>
          <xdr:rowOff>0</xdr:rowOff>
        </xdr:from>
        <xdr:ext cx="647700" cy="381000"/>
        <xdr:pic>
          <xdr:nvPicPr>
            <xdr:cNvPr id="346" name="Picture 345">
              <a:extLst>
                <a:ext uri="{FF2B5EF4-FFF2-40B4-BE49-F238E27FC236}">
                  <a16:creationId xmlns:a16="http://schemas.microsoft.com/office/drawing/2014/main" id="{00000000-0008-0000-0100-00005A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2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9849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90</xdr:row>
          <xdr:rowOff>0</xdr:rowOff>
        </xdr:from>
        <xdr:ext cx="647700" cy="381000"/>
        <xdr:pic>
          <xdr:nvPicPr>
            <xdr:cNvPr id="347" name="Picture 346">
              <a:extLst>
                <a:ext uri="{FF2B5EF4-FFF2-40B4-BE49-F238E27FC236}">
                  <a16:creationId xmlns:a16="http://schemas.microsoft.com/office/drawing/2014/main" id="{00000000-0008-0000-0100-00005B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2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6325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91</xdr:row>
          <xdr:rowOff>0</xdr:rowOff>
        </xdr:from>
        <xdr:ext cx="647700" cy="381000"/>
        <xdr:pic>
          <xdr:nvPicPr>
            <xdr:cNvPr id="348" name="Picture 347">
              <a:extLst>
                <a:ext uri="{FF2B5EF4-FFF2-40B4-BE49-F238E27FC236}">
                  <a16:creationId xmlns:a16="http://schemas.microsoft.com/office/drawing/2014/main" id="{00000000-0008-0000-0100-00005C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2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9849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91</xdr:row>
          <xdr:rowOff>0</xdr:rowOff>
        </xdr:from>
        <xdr:ext cx="647700" cy="381000"/>
        <xdr:pic>
          <xdr:nvPicPr>
            <xdr:cNvPr id="349" name="Picture 348">
              <a:extLst>
                <a:ext uri="{FF2B5EF4-FFF2-40B4-BE49-F238E27FC236}">
                  <a16:creationId xmlns:a16="http://schemas.microsoft.com/office/drawing/2014/main" id="{00000000-0008-0000-0100-00005D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2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9849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91</xdr:row>
          <xdr:rowOff>0</xdr:rowOff>
        </xdr:from>
        <xdr:ext cx="647700" cy="381000"/>
        <xdr:pic>
          <xdr:nvPicPr>
            <xdr:cNvPr id="350" name="Picture 349">
              <a:extLst>
                <a:ext uri="{FF2B5EF4-FFF2-40B4-BE49-F238E27FC236}">
                  <a16:creationId xmlns:a16="http://schemas.microsoft.com/office/drawing/2014/main" id="{00000000-0008-0000-0100-00005E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2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9849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92</xdr:row>
          <xdr:rowOff>0</xdr:rowOff>
        </xdr:from>
        <xdr:ext cx="647700" cy="381000"/>
        <xdr:pic>
          <xdr:nvPicPr>
            <xdr:cNvPr id="351" name="Picture 350">
              <a:extLst>
                <a:ext uri="{FF2B5EF4-FFF2-40B4-BE49-F238E27FC236}">
                  <a16:creationId xmlns:a16="http://schemas.microsoft.com/office/drawing/2014/main" id="{00000000-0008-0000-0100-00005F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2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23373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92</xdr:row>
          <xdr:rowOff>0</xdr:rowOff>
        </xdr:from>
        <xdr:ext cx="647700" cy="381000"/>
        <xdr:pic>
          <xdr:nvPicPr>
            <xdr:cNvPr id="352" name="Picture 351">
              <a:extLst>
                <a:ext uri="{FF2B5EF4-FFF2-40B4-BE49-F238E27FC236}">
                  <a16:creationId xmlns:a16="http://schemas.microsoft.com/office/drawing/2014/main" id="{00000000-0008-0000-0100-000060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28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23373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91</xdr:row>
          <xdr:rowOff>0</xdr:rowOff>
        </xdr:from>
        <xdr:ext cx="647700" cy="381000"/>
        <xdr:pic>
          <xdr:nvPicPr>
            <xdr:cNvPr id="353" name="Picture 352">
              <a:extLst>
                <a:ext uri="{FF2B5EF4-FFF2-40B4-BE49-F238E27FC236}">
                  <a16:creationId xmlns:a16="http://schemas.microsoft.com/office/drawing/2014/main" id="{00000000-0008-0000-0100-000061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29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19849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92</xdr:row>
          <xdr:rowOff>0</xdr:rowOff>
        </xdr:from>
        <xdr:ext cx="647700" cy="381000"/>
        <xdr:pic>
          <xdr:nvPicPr>
            <xdr:cNvPr id="354" name="Picture 353">
              <a:extLst>
                <a:ext uri="{FF2B5EF4-FFF2-40B4-BE49-F238E27FC236}">
                  <a16:creationId xmlns:a16="http://schemas.microsoft.com/office/drawing/2014/main" id="{00000000-0008-0000-0100-000062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30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23373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92</xdr:row>
          <xdr:rowOff>0</xdr:rowOff>
        </xdr:from>
        <xdr:ext cx="647700" cy="381000"/>
        <xdr:pic>
          <xdr:nvPicPr>
            <xdr:cNvPr id="355" name="Picture 354">
              <a:extLst>
                <a:ext uri="{FF2B5EF4-FFF2-40B4-BE49-F238E27FC236}">
                  <a16:creationId xmlns:a16="http://schemas.microsoft.com/office/drawing/2014/main" id="{00000000-0008-0000-0100-000063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31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23373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92</xdr:row>
          <xdr:rowOff>0</xdr:rowOff>
        </xdr:from>
        <xdr:ext cx="647700" cy="381000"/>
        <xdr:pic>
          <xdr:nvPicPr>
            <xdr:cNvPr id="356" name="Picture 355">
              <a:extLst>
                <a:ext uri="{FF2B5EF4-FFF2-40B4-BE49-F238E27FC236}">
                  <a16:creationId xmlns:a16="http://schemas.microsoft.com/office/drawing/2014/main" id="{00000000-0008-0000-0100-000064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3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23373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93</xdr:row>
          <xdr:rowOff>0</xdr:rowOff>
        </xdr:from>
        <xdr:ext cx="647700" cy="381000"/>
        <xdr:pic>
          <xdr:nvPicPr>
            <xdr:cNvPr id="357" name="Picture 356">
              <a:extLst>
                <a:ext uri="{FF2B5EF4-FFF2-40B4-BE49-F238E27FC236}">
                  <a16:creationId xmlns:a16="http://schemas.microsoft.com/office/drawing/2014/main" id="{00000000-0008-0000-0100-000065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3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26898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93</xdr:row>
          <xdr:rowOff>0</xdr:rowOff>
        </xdr:from>
        <xdr:ext cx="647700" cy="381000"/>
        <xdr:pic>
          <xdr:nvPicPr>
            <xdr:cNvPr id="358" name="Picture 357">
              <a:extLst>
                <a:ext uri="{FF2B5EF4-FFF2-40B4-BE49-F238E27FC236}">
                  <a16:creationId xmlns:a16="http://schemas.microsoft.com/office/drawing/2014/main" id="{00000000-0008-0000-0100-000066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3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26898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92</xdr:row>
          <xdr:rowOff>0</xdr:rowOff>
        </xdr:from>
        <xdr:ext cx="647700" cy="381000"/>
        <xdr:pic>
          <xdr:nvPicPr>
            <xdr:cNvPr id="359" name="Picture 358">
              <a:extLst>
                <a:ext uri="{FF2B5EF4-FFF2-40B4-BE49-F238E27FC236}">
                  <a16:creationId xmlns:a16="http://schemas.microsoft.com/office/drawing/2014/main" id="{00000000-0008-0000-0100-000067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3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23373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93</xdr:row>
          <xdr:rowOff>0</xdr:rowOff>
        </xdr:from>
        <xdr:ext cx="647700" cy="381000"/>
        <xdr:pic>
          <xdr:nvPicPr>
            <xdr:cNvPr id="360" name="Picture 359">
              <a:extLst>
                <a:ext uri="{FF2B5EF4-FFF2-40B4-BE49-F238E27FC236}">
                  <a16:creationId xmlns:a16="http://schemas.microsoft.com/office/drawing/2014/main" id="{00000000-0008-0000-0100-000068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3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26898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93</xdr:row>
          <xdr:rowOff>0</xdr:rowOff>
        </xdr:from>
        <xdr:ext cx="647700" cy="381000"/>
        <xdr:pic>
          <xdr:nvPicPr>
            <xdr:cNvPr id="361" name="Picture 360">
              <a:extLst>
                <a:ext uri="{FF2B5EF4-FFF2-40B4-BE49-F238E27FC236}">
                  <a16:creationId xmlns:a16="http://schemas.microsoft.com/office/drawing/2014/main" id="{00000000-0008-0000-0100-000069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3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26898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93</xdr:row>
          <xdr:rowOff>0</xdr:rowOff>
        </xdr:from>
        <xdr:ext cx="647700" cy="381000"/>
        <xdr:pic>
          <xdr:nvPicPr>
            <xdr:cNvPr id="362" name="Picture 361">
              <a:extLst>
                <a:ext uri="{FF2B5EF4-FFF2-40B4-BE49-F238E27FC236}">
                  <a16:creationId xmlns:a16="http://schemas.microsoft.com/office/drawing/2014/main" id="{00000000-0008-0000-0100-00006A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38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26898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94</xdr:row>
          <xdr:rowOff>0</xdr:rowOff>
        </xdr:from>
        <xdr:ext cx="647700" cy="381000"/>
        <xdr:pic>
          <xdr:nvPicPr>
            <xdr:cNvPr id="363" name="Picture 362">
              <a:extLst>
                <a:ext uri="{FF2B5EF4-FFF2-40B4-BE49-F238E27FC236}">
                  <a16:creationId xmlns:a16="http://schemas.microsoft.com/office/drawing/2014/main" id="{00000000-0008-0000-0100-00006B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39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0422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94</xdr:row>
          <xdr:rowOff>0</xdr:rowOff>
        </xdr:from>
        <xdr:ext cx="647700" cy="381000"/>
        <xdr:pic>
          <xdr:nvPicPr>
            <xdr:cNvPr id="364" name="Picture 363">
              <a:extLst>
                <a:ext uri="{FF2B5EF4-FFF2-40B4-BE49-F238E27FC236}">
                  <a16:creationId xmlns:a16="http://schemas.microsoft.com/office/drawing/2014/main" id="{00000000-0008-0000-0100-00006C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40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0422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93</xdr:row>
          <xdr:rowOff>0</xdr:rowOff>
        </xdr:from>
        <xdr:ext cx="647700" cy="381000"/>
        <xdr:pic>
          <xdr:nvPicPr>
            <xdr:cNvPr id="365" name="Picture 364">
              <a:extLst>
                <a:ext uri="{FF2B5EF4-FFF2-40B4-BE49-F238E27FC236}">
                  <a16:creationId xmlns:a16="http://schemas.microsoft.com/office/drawing/2014/main" id="{00000000-0008-0000-0100-00006D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41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26898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94</xdr:row>
          <xdr:rowOff>0</xdr:rowOff>
        </xdr:from>
        <xdr:ext cx="647700" cy="381000"/>
        <xdr:pic>
          <xdr:nvPicPr>
            <xdr:cNvPr id="366" name="Picture 365">
              <a:extLst>
                <a:ext uri="{FF2B5EF4-FFF2-40B4-BE49-F238E27FC236}">
                  <a16:creationId xmlns:a16="http://schemas.microsoft.com/office/drawing/2014/main" id="{00000000-0008-0000-0100-00006E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4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0422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94</xdr:row>
          <xdr:rowOff>0</xdr:rowOff>
        </xdr:from>
        <xdr:ext cx="647700" cy="381000"/>
        <xdr:pic>
          <xdr:nvPicPr>
            <xdr:cNvPr id="367" name="Picture 366">
              <a:extLst>
                <a:ext uri="{FF2B5EF4-FFF2-40B4-BE49-F238E27FC236}">
                  <a16:creationId xmlns:a16="http://schemas.microsoft.com/office/drawing/2014/main" id="{00000000-0008-0000-0100-00006F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4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0422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94</xdr:row>
          <xdr:rowOff>0</xdr:rowOff>
        </xdr:from>
        <xdr:ext cx="647700" cy="381000"/>
        <xdr:pic>
          <xdr:nvPicPr>
            <xdr:cNvPr id="368" name="Picture 367">
              <a:extLst>
                <a:ext uri="{FF2B5EF4-FFF2-40B4-BE49-F238E27FC236}">
                  <a16:creationId xmlns:a16="http://schemas.microsoft.com/office/drawing/2014/main" id="{00000000-0008-0000-0100-000070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4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0422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95</xdr:row>
          <xdr:rowOff>0</xdr:rowOff>
        </xdr:from>
        <xdr:ext cx="647700" cy="381000"/>
        <xdr:pic>
          <xdr:nvPicPr>
            <xdr:cNvPr id="369" name="Picture 368">
              <a:extLst>
                <a:ext uri="{FF2B5EF4-FFF2-40B4-BE49-F238E27FC236}">
                  <a16:creationId xmlns:a16="http://schemas.microsoft.com/office/drawing/2014/main" id="{00000000-0008-0000-0100-000071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4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3946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95</xdr:row>
          <xdr:rowOff>0</xdr:rowOff>
        </xdr:from>
        <xdr:ext cx="647700" cy="381000"/>
        <xdr:pic>
          <xdr:nvPicPr>
            <xdr:cNvPr id="370" name="Picture 369">
              <a:extLst>
                <a:ext uri="{FF2B5EF4-FFF2-40B4-BE49-F238E27FC236}">
                  <a16:creationId xmlns:a16="http://schemas.microsoft.com/office/drawing/2014/main" id="{00000000-0008-0000-0100-000072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4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3946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94</xdr:row>
          <xdr:rowOff>0</xdr:rowOff>
        </xdr:from>
        <xdr:ext cx="647700" cy="381000"/>
        <xdr:pic>
          <xdr:nvPicPr>
            <xdr:cNvPr id="371" name="Picture 370">
              <a:extLst>
                <a:ext uri="{FF2B5EF4-FFF2-40B4-BE49-F238E27FC236}">
                  <a16:creationId xmlns:a16="http://schemas.microsoft.com/office/drawing/2014/main" id="{00000000-0008-0000-0100-000073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4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0422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95</xdr:row>
          <xdr:rowOff>0</xdr:rowOff>
        </xdr:from>
        <xdr:ext cx="647700" cy="381000"/>
        <xdr:pic>
          <xdr:nvPicPr>
            <xdr:cNvPr id="372" name="Picture 371">
              <a:extLst>
                <a:ext uri="{FF2B5EF4-FFF2-40B4-BE49-F238E27FC236}">
                  <a16:creationId xmlns:a16="http://schemas.microsoft.com/office/drawing/2014/main" id="{00000000-0008-0000-0100-000074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48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3946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95</xdr:row>
          <xdr:rowOff>0</xdr:rowOff>
        </xdr:from>
        <xdr:ext cx="647700" cy="381000"/>
        <xdr:pic>
          <xdr:nvPicPr>
            <xdr:cNvPr id="373" name="Picture 372">
              <a:extLst>
                <a:ext uri="{FF2B5EF4-FFF2-40B4-BE49-F238E27FC236}">
                  <a16:creationId xmlns:a16="http://schemas.microsoft.com/office/drawing/2014/main" id="{00000000-0008-0000-0100-000075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49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3946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95</xdr:row>
          <xdr:rowOff>0</xdr:rowOff>
        </xdr:from>
        <xdr:ext cx="647700" cy="381000"/>
        <xdr:pic>
          <xdr:nvPicPr>
            <xdr:cNvPr id="374" name="Picture 373">
              <a:extLst>
                <a:ext uri="{FF2B5EF4-FFF2-40B4-BE49-F238E27FC236}">
                  <a16:creationId xmlns:a16="http://schemas.microsoft.com/office/drawing/2014/main" id="{00000000-0008-0000-0100-000076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50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3946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96</xdr:row>
          <xdr:rowOff>0</xdr:rowOff>
        </xdr:from>
        <xdr:ext cx="647700" cy="381000"/>
        <xdr:pic>
          <xdr:nvPicPr>
            <xdr:cNvPr id="375" name="Picture 374">
              <a:extLst>
                <a:ext uri="{FF2B5EF4-FFF2-40B4-BE49-F238E27FC236}">
                  <a16:creationId xmlns:a16="http://schemas.microsoft.com/office/drawing/2014/main" id="{00000000-0008-0000-0100-000077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51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7470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96</xdr:row>
          <xdr:rowOff>0</xdr:rowOff>
        </xdr:from>
        <xdr:ext cx="647700" cy="381000"/>
        <xdr:pic>
          <xdr:nvPicPr>
            <xdr:cNvPr id="376" name="Picture 375">
              <a:extLst>
                <a:ext uri="{FF2B5EF4-FFF2-40B4-BE49-F238E27FC236}">
                  <a16:creationId xmlns:a16="http://schemas.microsoft.com/office/drawing/2014/main" id="{00000000-0008-0000-0100-000078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5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7470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95</xdr:row>
          <xdr:rowOff>0</xdr:rowOff>
        </xdr:from>
        <xdr:ext cx="647700" cy="381000"/>
        <xdr:pic>
          <xdr:nvPicPr>
            <xdr:cNvPr id="377" name="Picture 376">
              <a:extLst>
                <a:ext uri="{FF2B5EF4-FFF2-40B4-BE49-F238E27FC236}">
                  <a16:creationId xmlns:a16="http://schemas.microsoft.com/office/drawing/2014/main" id="{00000000-0008-0000-0100-000079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5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39465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96</xdr:row>
          <xdr:rowOff>0</xdr:rowOff>
        </xdr:from>
        <xdr:ext cx="647700" cy="381000"/>
        <xdr:pic>
          <xdr:nvPicPr>
            <xdr:cNvPr id="378" name="Picture 377">
              <a:extLst>
                <a:ext uri="{FF2B5EF4-FFF2-40B4-BE49-F238E27FC236}">
                  <a16:creationId xmlns:a16="http://schemas.microsoft.com/office/drawing/2014/main" id="{00000000-0008-0000-0100-00007A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5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7470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96</xdr:row>
          <xdr:rowOff>0</xdr:rowOff>
        </xdr:from>
        <xdr:ext cx="647700" cy="381000"/>
        <xdr:pic>
          <xdr:nvPicPr>
            <xdr:cNvPr id="379" name="Picture 378">
              <a:extLst>
                <a:ext uri="{FF2B5EF4-FFF2-40B4-BE49-F238E27FC236}">
                  <a16:creationId xmlns:a16="http://schemas.microsoft.com/office/drawing/2014/main" id="{00000000-0008-0000-0100-00007B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5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7470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96</xdr:row>
          <xdr:rowOff>0</xdr:rowOff>
        </xdr:from>
        <xdr:ext cx="647700" cy="381000"/>
        <xdr:pic>
          <xdr:nvPicPr>
            <xdr:cNvPr id="380" name="Picture 379">
              <a:extLst>
                <a:ext uri="{FF2B5EF4-FFF2-40B4-BE49-F238E27FC236}">
                  <a16:creationId xmlns:a16="http://schemas.microsoft.com/office/drawing/2014/main" id="{00000000-0008-0000-0100-00007C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5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7470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97</xdr:row>
          <xdr:rowOff>0</xdr:rowOff>
        </xdr:from>
        <xdr:ext cx="647700" cy="381000"/>
        <xdr:pic>
          <xdr:nvPicPr>
            <xdr:cNvPr id="381" name="Picture 380">
              <a:extLst>
                <a:ext uri="{FF2B5EF4-FFF2-40B4-BE49-F238E27FC236}">
                  <a16:creationId xmlns:a16="http://schemas.microsoft.com/office/drawing/2014/main" id="{00000000-0008-0000-0100-00007D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5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40995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97</xdr:row>
          <xdr:rowOff>0</xdr:rowOff>
        </xdr:from>
        <xdr:ext cx="647700" cy="381000"/>
        <xdr:pic>
          <xdr:nvPicPr>
            <xdr:cNvPr id="382" name="Picture 381">
              <a:extLst>
                <a:ext uri="{FF2B5EF4-FFF2-40B4-BE49-F238E27FC236}">
                  <a16:creationId xmlns:a16="http://schemas.microsoft.com/office/drawing/2014/main" id="{00000000-0008-0000-0100-00007E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58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40995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96</xdr:row>
          <xdr:rowOff>0</xdr:rowOff>
        </xdr:from>
        <xdr:ext cx="647700" cy="381000"/>
        <xdr:pic>
          <xdr:nvPicPr>
            <xdr:cNvPr id="383" name="Picture 382">
              <a:extLst>
                <a:ext uri="{FF2B5EF4-FFF2-40B4-BE49-F238E27FC236}">
                  <a16:creationId xmlns:a16="http://schemas.microsoft.com/office/drawing/2014/main" id="{00000000-0008-0000-0100-00007F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59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374707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97</xdr:row>
          <xdr:rowOff>0</xdr:rowOff>
        </xdr:from>
        <xdr:ext cx="647700" cy="381000"/>
        <xdr:pic>
          <xdr:nvPicPr>
            <xdr:cNvPr id="384" name="Picture 383">
              <a:extLst>
                <a:ext uri="{FF2B5EF4-FFF2-40B4-BE49-F238E27FC236}">
                  <a16:creationId xmlns:a16="http://schemas.microsoft.com/office/drawing/2014/main" id="{00000000-0008-0000-0100-000080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60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40995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97</xdr:row>
          <xdr:rowOff>0</xdr:rowOff>
        </xdr:from>
        <xdr:ext cx="647700" cy="381000"/>
        <xdr:pic>
          <xdr:nvPicPr>
            <xdr:cNvPr id="385" name="Picture 384">
              <a:extLst>
                <a:ext uri="{FF2B5EF4-FFF2-40B4-BE49-F238E27FC236}">
                  <a16:creationId xmlns:a16="http://schemas.microsoft.com/office/drawing/2014/main" id="{00000000-0008-0000-0100-000081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61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40995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97</xdr:row>
          <xdr:rowOff>0</xdr:rowOff>
        </xdr:from>
        <xdr:ext cx="647700" cy="381000"/>
        <xdr:pic>
          <xdr:nvPicPr>
            <xdr:cNvPr id="386" name="Picture 385">
              <a:extLst>
                <a:ext uri="{FF2B5EF4-FFF2-40B4-BE49-F238E27FC236}">
                  <a16:creationId xmlns:a16="http://schemas.microsoft.com/office/drawing/2014/main" id="{00000000-0008-0000-0100-000082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6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40995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98</xdr:row>
          <xdr:rowOff>0</xdr:rowOff>
        </xdr:from>
        <xdr:ext cx="647700" cy="381000"/>
        <xdr:pic>
          <xdr:nvPicPr>
            <xdr:cNvPr id="387" name="Picture 386">
              <a:extLst>
                <a:ext uri="{FF2B5EF4-FFF2-40B4-BE49-F238E27FC236}">
                  <a16:creationId xmlns:a16="http://schemas.microsoft.com/office/drawing/2014/main" id="{00000000-0008-0000-0100-000083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6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44519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98</xdr:row>
          <xdr:rowOff>0</xdr:rowOff>
        </xdr:from>
        <xdr:ext cx="647700" cy="381000"/>
        <xdr:pic>
          <xdr:nvPicPr>
            <xdr:cNvPr id="388" name="Picture 387">
              <a:extLst>
                <a:ext uri="{FF2B5EF4-FFF2-40B4-BE49-F238E27FC236}">
                  <a16:creationId xmlns:a16="http://schemas.microsoft.com/office/drawing/2014/main" id="{00000000-0008-0000-0100-000084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64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44519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97</xdr:row>
          <xdr:rowOff>0</xdr:rowOff>
        </xdr:from>
        <xdr:ext cx="647700" cy="381000"/>
        <xdr:pic>
          <xdr:nvPicPr>
            <xdr:cNvPr id="389" name="Picture 388">
              <a:extLst>
                <a:ext uri="{FF2B5EF4-FFF2-40B4-BE49-F238E27FC236}">
                  <a16:creationId xmlns:a16="http://schemas.microsoft.com/office/drawing/2014/main" id="{00000000-0008-0000-0100-000085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65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4099500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98</xdr:row>
          <xdr:rowOff>0</xdr:rowOff>
        </xdr:from>
        <xdr:ext cx="647700" cy="381000"/>
        <xdr:pic>
          <xdr:nvPicPr>
            <xdr:cNvPr id="390" name="Picture 389">
              <a:extLst>
                <a:ext uri="{FF2B5EF4-FFF2-40B4-BE49-F238E27FC236}">
                  <a16:creationId xmlns:a16="http://schemas.microsoft.com/office/drawing/2014/main" id="{00000000-0008-0000-0100-000086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66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44519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98</xdr:row>
          <xdr:rowOff>0</xdr:rowOff>
        </xdr:from>
        <xdr:ext cx="647700" cy="381000"/>
        <xdr:pic>
          <xdr:nvPicPr>
            <xdr:cNvPr id="391" name="Picture 390">
              <a:extLst>
                <a:ext uri="{FF2B5EF4-FFF2-40B4-BE49-F238E27FC236}">
                  <a16:creationId xmlns:a16="http://schemas.microsoft.com/office/drawing/2014/main" id="{00000000-0008-0000-0100-00008701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bo" spid="_x0000_s7406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10125" y="34451925"/>
              <a:ext cx="647700" cy="381000"/>
            </a:xfrm>
            <a:prstGeom prst="rect">
              <a:avLst/>
            </a:prstGeom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14</xdr:row>
          <xdr:rowOff>0</xdr:rowOff>
        </xdr:from>
        <xdr:to>
          <xdr:col>4</xdr:col>
          <xdr:colOff>9525</xdr:colOff>
          <xdr:row>14</xdr:row>
          <xdr:rowOff>381000</xdr:rowOff>
        </xdr:to>
        <xdr:pic>
          <xdr:nvPicPr>
            <xdr:cNvPr id="221" name="Picture 220">
              <a:extLst>
                <a:ext uri="{FF2B5EF4-FFF2-40B4-BE49-F238E27FC236}">
                  <a16:creationId xmlns:a16="http://schemas.microsoft.com/office/drawing/2014/main" id="{DD10EBCD-CC08-45B1-92E2-EDA114E781B9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ac" spid="_x0000_s74068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933950" y="4400550"/>
              <a:ext cx="647700" cy="381000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progress%20dashboard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sc int sc"/>
      <sheetName val="3sc chem"/>
      <sheetName val="Sheet4"/>
      <sheetName val="3A chem "/>
      <sheetName val="Sheet2"/>
      <sheetName val="Sheet1"/>
      <sheetName val="Sheet3"/>
      <sheetName val="Chart Data"/>
    </sheetNames>
    <sheetDataSet>
      <sheetData sheetId="0"/>
      <sheetData sheetId="1"/>
      <sheetData sheetId="2"/>
      <sheetData sheetId="3">
        <row r="14">
          <cell r="B14" t="str">
            <v>star</v>
          </cell>
        </row>
      </sheetData>
      <sheetData sheetId="4">
        <row r="2">
          <cell r="C2" t="str">
            <v>golden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MonthlyIncome58" displayName="MonthlyIncome58" ref="B6:E10" totalsRowCount="1" dataDxfId="21" totalsRowDxfId="20" headerRowCellStyle="Heading 2">
  <autoFilter ref="B6:E9" xr:uid="{00000000-0009-0000-0100-000007000000}"/>
  <tableColumns count="4">
    <tableColumn id="1" xr3:uid="{00000000-0010-0000-0000-000001000000}" name="Column1" dataDxfId="19" totalsRowDxfId="18"/>
    <tableColumn id="3" xr3:uid="{00000000-0010-0000-0000-000003000000}" name="Column2" dataDxfId="17" totalsRowDxfId="16"/>
    <tableColumn id="2" xr3:uid="{00000000-0010-0000-0000-000002000000}" name="Column3" dataDxfId="15" totalsRowDxfId="14"/>
    <tableColumn id="4" xr3:uid="{00000000-0010-0000-0000-000004000000}" name="Column4" dataDxfId="13" totalsRowDxfId="12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="Monthly Income" altTextSummary="Enter monthly income sources and their amounts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MonthlyExpenses69" displayName="MonthlyExpenses69" ref="C13:G85" totalsRowCount="1" headerRowDxfId="11" dataDxfId="10" totalsRowDxfId="9" headerRowCellStyle="Heading 2">
  <autoFilter ref="C13:G84" xr:uid="{00000000-0009-0000-0100-000008000000}"/>
  <tableColumns count="5">
    <tableColumn id="1" xr3:uid="{00000000-0010-0000-0100-000001000000}" name="NAMES" totalsRowDxfId="4"/>
    <tableColumn id="5" xr3:uid="{00000000-0010-0000-0100-000005000000}" name="current bagde " dataDxfId="8" totalsRowDxfId="3"/>
    <tableColumn id="2" xr3:uid="{00000000-0010-0000-0100-000002000000}" name="RANK" dataDxfId="7" totalsRowDxfId="2">
      <calculatedColumnFormula>IF(F14&gt;2999,6,IF(F14 &gt;1499,5,IF(F14&gt;799,4,IF(F14&gt;399,3,IF(F14&gt;99,2,1)))))</calculatedColumnFormula>
    </tableColumn>
    <tableColumn id="3" xr3:uid="{00000000-0010-0000-0100-000003000000}" name="ACHIEVED" dataDxfId="6" totalsRowDxfId="1">
      <calculatedColumnFormula>'RAW SCORE'!D3</calculatedColumnFormula>
    </tableColumn>
    <tableColumn id="4" xr3:uid="{00000000-0010-0000-0100-000004000000}" name="PROGRESS" dataDxfId="5" totalsRowDxfId="0">
      <calculatedColumnFormula>L14</calculatedColumnFormula>
    </tableColumn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="Monthly Expenses" altTextSummary="Enter monthly expense items, their due date and amounts per month."/>
    </ext>
  </extLst>
</table>
</file>

<file path=xl/theme/theme1.xml><?xml version="1.0" encoding="utf-8"?>
<a:theme xmlns:a="http://schemas.openxmlformats.org/drawingml/2006/main" name="Personal budget2">
  <a:themeElements>
    <a:clrScheme name="Personal budget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Personal budget">
      <a:majorFont>
        <a:latin typeface="Tahoma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1.bin" /><Relationship Id="rId5" Type="http://schemas.openxmlformats.org/officeDocument/2006/relationships/table" Target="../tables/table2.xml" /><Relationship Id="rId4" Type="http://schemas.openxmlformats.org/officeDocument/2006/relationships/table" Target="../tables/table1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249977111117893"/>
  </sheetPr>
  <dimension ref="C2:E6"/>
  <sheetViews>
    <sheetView workbookViewId="0">
      <selection activeCell="D6" sqref="D6"/>
    </sheetView>
  </sheetViews>
  <sheetFormatPr defaultRowHeight="12.75" x14ac:dyDescent="0.15"/>
  <cols>
    <col min="1" max="1" width="9.87890625" customWidth="1"/>
    <col min="2" max="2" width="12.1796875" customWidth="1"/>
    <col min="4" max="4" width="9.7421875" customWidth="1"/>
  </cols>
  <sheetData>
    <row r="2" spans="3:5" ht="30" customHeight="1" x14ac:dyDescent="0.15">
      <c r="C2" s="43"/>
      <c r="D2" s="43"/>
      <c r="E2" t="s">
        <v>19</v>
      </c>
    </row>
    <row r="3" spans="3:5" ht="33" customHeight="1" x14ac:dyDescent="0.15">
      <c r="D3" s="43"/>
      <c r="E3" t="s">
        <v>20</v>
      </c>
    </row>
    <row r="4" spans="3:5" ht="28.5" customHeight="1" x14ac:dyDescent="0.15">
      <c r="D4" s="43"/>
      <c r="E4" t="s">
        <v>21</v>
      </c>
    </row>
    <row r="5" spans="3:5" ht="32.25" customHeight="1" x14ac:dyDescent="0.15">
      <c r="D5" s="43"/>
      <c r="E5" t="s">
        <v>22</v>
      </c>
    </row>
    <row r="6" spans="3:5" ht="30" customHeight="1" x14ac:dyDescent="0.15">
      <c r="D6" s="43"/>
      <c r="E6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3" tint="0.249977111117893"/>
    <pageSetUpPr fitToPage="1"/>
  </sheetPr>
  <dimension ref="A1:R101"/>
  <sheetViews>
    <sheetView showGridLines="0" tabSelected="1" topLeftCell="B8" zoomScaleNormal="100" workbookViewId="0">
      <selection activeCell="G10" sqref="G10"/>
    </sheetView>
  </sheetViews>
  <sheetFormatPr defaultColWidth="9.19921875" defaultRowHeight="27.75" customHeight="1" x14ac:dyDescent="0.15"/>
  <cols>
    <col min="1" max="1" width="7.84765625" style="4" customWidth="1"/>
    <col min="2" max="2" width="19.7578125" style="4" customWidth="1"/>
    <col min="3" max="3" width="44.5234375" style="4" customWidth="1"/>
    <col min="4" max="4" width="11.3671875" style="4" customWidth="1"/>
    <col min="5" max="5" width="10.41796875" style="5" customWidth="1"/>
    <col min="6" max="6" width="10.41796875" style="4" customWidth="1"/>
    <col min="7" max="7" width="43.16796875" style="4" customWidth="1"/>
    <col min="8" max="8" width="51.01953125" style="4" customWidth="1"/>
    <col min="9" max="9" width="17.58984375" style="6" customWidth="1"/>
    <col min="10" max="10" width="15.6953125" style="5" customWidth="1"/>
    <col min="11" max="11" width="11.90625" style="4" customWidth="1"/>
    <col min="12" max="12" width="15.6953125" style="6" customWidth="1"/>
    <col min="13" max="13" width="8.1171875" style="6" customWidth="1"/>
    <col min="14" max="15" width="8.38671875" style="5" customWidth="1"/>
    <col min="16" max="16" width="7.84765625" style="4" customWidth="1"/>
    <col min="17" max="16384" width="9.19921875" style="4"/>
  </cols>
  <sheetData>
    <row r="1" spans="1:18" s="2" customFormat="1" ht="5.25" customHeight="1" x14ac:dyDescent="0.15"/>
    <row r="2" spans="1:18" s="8" customFormat="1" ht="40.5" customHeight="1" x14ac:dyDescent="0.15">
      <c r="C2" s="8" t="s">
        <v>16</v>
      </c>
      <c r="E2" s="27"/>
      <c r="P2" s="8" t="s">
        <v>0</v>
      </c>
    </row>
    <row r="3" spans="1:18" s="3" customFormat="1" ht="33" customHeight="1" x14ac:dyDescent="0.2">
      <c r="C3" s="7"/>
      <c r="D3" s="7"/>
      <c r="E3" s="14"/>
      <c r="F3" s="7" t="s">
        <v>1</v>
      </c>
    </row>
    <row r="4" spans="1:18" s="3" customFormat="1" ht="18.75" customHeight="1" x14ac:dyDescent="0.15">
      <c r="C4" s="79"/>
      <c r="D4" s="79"/>
      <c r="E4" s="1"/>
      <c r="F4" s="11"/>
      <c r="G4" s="11"/>
      <c r="H4" s="11"/>
    </row>
    <row r="5" spans="1:18" s="3" customFormat="1" ht="3.75" customHeight="1" x14ac:dyDescent="0.15">
      <c r="E5" s="1"/>
      <c r="F5"/>
      <c r="G5"/>
      <c r="H5"/>
    </row>
    <row r="6" spans="1:18" s="3" customFormat="1" ht="18.75" customHeight="1" x14ac:dyDescent="0.15">
      <c r="B6" s="9" t="s">
        <v>7</v>
      </c>
      <c r="C6" s="9" t="s">
        <v>8</v>
      </c>
      <c r="D6" s="9" t="s">
        <v>17</v>
      </c>
      <c r="E6" s="9" t="s">
        <v>18</v>
      </c>
    </row>
    <row r="7" spans="1:18" ht="27.95" customHeight="1" x14ac:dyDescent="0.15">
      <c r="A7" s="19"/>
      <c r="B7" s="20"/>
      <c r="C7" s="21"/>
      <c r="D7" s="21"/>
      <c r="E7" s="22"/>
      <c r="F7" s="3"/>
      <c r="I7" s="3"/>
      <c r="J7" s="6"/>
      <c r="K7" s="5"/>
      <c r="L7" s="3"/>
      <c r="M7" s="3"/>
      <c r="N7" s="4"/>
      <c r="O7" s="4"/>
    </row>
    <row r="8" spans="1:18" ht="27.95" customHeight="1" x14ac:dyDescent="0.15">
      <c r="A8" s="19"/>
      <c r="B8" s="20"/>
      <c r="C8" s="21"/>
      <c r="D8" s="21"/>
      <c r="E8" s="22"/>
      <c r="I8" s="3"/>
      <c r="J8" s="6"/>
      <c r="K8" s="13"/>
      <c r="L8" s="3"/>
      <c r="M8" s="3"/>
      <c r="N8" s="4"/>
      <c r="O8" s="4"/>
    </row>
    <row r="9" spans="1:18" ht="27.95" customHeight="1" x14ac:dyDescent="0.15">
      <c r="A9" s="19"/>
      <c r="B9" s="20"/>
      <c r="C9" s="21"/>
      <c r="D9" s="21"/>
      <c r="E9" s="22"/>
      <c r="F9" s="31"/>
      <c r="I9" s="3"/>
      <c r="J9" s="6"/>
      <c r="K9" s="12"/>
      <c r="L9" s="4"/>
      <c r="M9" s="4"/>
      <c r="N9" s="4" t="s">
        <v>5</v>
      </c>
      <c r="O9" s="4"/>
    </row>
    <row r="10" spans="1:18" ht="27.95" customHeight="1" x14ac:dyDescent="0.15">
      <c r="E10" s="4"/>
      <c r="I10" s="3"/>
      <c r="J10" s="3"/>
      <c r="K10" s="3"/>
      <c r="P10" s="15">
        <v>0.9</v>
      </c>
      <c r="Q10" s="15" t="str">
        <f>IF(K8&gt;=P10,K8," ")</f>
        <v xml:space="preserve"> </v>
      </c>
    </row>
    <row r="11" spans="1:18" ht="27.95" customHeight="1" thickBot="1" x14ac:dyDescent="0.2">
      <c r="D11" s="6"/>
      <c r="F11" s="3"/>
      <c r="G11" s="6"/>
      <c r="H11" s="6"/>
      <c r="I11" s="3"/>
      <c r="J11" s="3" t="s">
        <v>14</v>
      </c>
      <c r="K11" s="3" t="s">
        <v>4</v>
      </c>
      <c r="L11" s="3" t="s">
        <v>3</v>
      </c>
      <c r="M11" s="3"/>
      <c r="N11" s="4"/>
      <c r="O11" s="4"/>
      <c r="P11" s="15">
        <v>0.45</v>
      </c>
      <c r="Q11" s="15" t="str">
        <f>IF(AND(M15&lt;P10,M15&gt;=P11),M15," ")</f>
        <v xml:space="preserve"> </v>
      </c>
    </row>
    <row r="12" spans="1:18" ht="27.95" customHeight="1" thickTop="1" x14ac:dyDescent="0.2">
      <c r="B12" s="16"/>
      <c r="C12" s="17" t="s">
        <v>32</v>
      </c>
      <c r="D12" s="17"/>
      <c r="E12" s="17"/>
      <c r="F12" s="16"/>
      <c r="I12" s="23" t="s">
        <v>14</v>
      </c>
      <c r="J12" s="28"/>
      <c r="K12" s="34"/>
      <c r="L12" s="36"/>
      <c r="M12" s="3"/>
      <c r="P12" s="15">
        <v>0.1</v>
      </c>
      <c r="Q12" s="15"/>
    </row>
    <row r="13" spans="1:18" ht="27.75" customHeight="1" x14ac:dyDescent="0.15">
      <c r="B13" s="18" t="s">
        <v>9</v>
      </c>
      <c r="C13" s="41" t="s">
        <v>10</v>
      </c>
      <c r="D13" s="41" t="s">
        <v>33</v>
      </c>
      <c r="E13" s="18" t="s">
        <v>13</v>
      </c>
      <c r="F13" s="18" t="s">
        <v>12</v>
      </c>
      <c r="G13" s="18" t="s">
        <v>11</v>
      </c>
      <c r="I13" s="24" t="s">
        <v>15</v>
      </c>
      <c r="J13" s="29"/>
      <c r="K13" s="35"/>
      <c r="L13" s="25"/>
      <c r="M13" s="3"/>
      <c r="P13" s="3" t="s">
        <v>6</v>
      </c>
      <c r="Q13" s="15"/>
    </row>
    <row r="14" spans="1:18" ht="27.75" customHeight="1" x14ac:dyDescent="0.15">
      <c r="B14" s="18"/>
      <c r="C14" s="52" t="s">
        <v>24</v>
      </c>
      <c r="D14" s="44"/>
      <c r="E14" s="53">
        <f>IF(AVERAGE(E15,E16,E17,E18,E19,E20,E21,E22,E23)&gt;5,1000,IF(AVERAGE(E15,E16,E17,E18,E19,E20,E21,E22,E23)&gt;4,500,IF(AVERAGE(E15,E16,E17,E18,E19,E20,E21,E22,E23)&gt;3,300,IF(AVERAGE(E15,E16,E17,E18,E19,E20,E21,E22,E23)&gt;2,150,IF(AVERAGE(E15,E16,E17,E18,E19,E20,E21,E22,E23)=2,50,0)))))</f>
        <v>0</v>
      </c>
      <c r="F14" s="48">
        <f>'RAW SCORE'!D3</f>
        <v>0</v>
      </c>
      <c r="G14" s="45"/>
      <c r="I14" s="24"/>
      <c r="J14" s="29"/>
      <c r="K14" s="35"/>
      <c r="L14" s="25"/>
      <c r="M14" s="3"/>
      <c r="P14" s="3"/>
      <c r="Q14" s="15"/>
    </row>
    <row r="15" spans="1:18" ht="32.25" customHeight="1" x14ac:dyDescent="0.35">
      <c r="A15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15" s="26"/>
      <c r="C15" s="30"/>
      <c r="D15" s="30"/>
      <c r="E15" s="42">
        <f t="shared" ref="E15:E45" si="0">IF(F15&gt;2999,6,IF(F15 &gt;1499,5,IF(F15&gt;799,4,IF(F15&gt;399,3,IF(F15&gt;99,2,1)))))</f>
        <v>1</v>
      </c>
      <c r="F15" s="32">
        <f>'RAW SCORE'!D4</f>
        <v>0</v>
      </c>
      <c r="G15" s="51" t="str">
        <f>REPT("|",K15/I15*100)&amp;TEXT(K15/I15,"0%")</f>
        <v>0%</v>
      </c>
      <c r="I15" s="24">
        <f>IF(J15&gt;2999,J15-1500,IF(J15&gt;1499,J15-800,IF(J15&gt;799,J15-400,IF(J15&gt;399,J15-100,100))))</f>
        <v>100</v>
      </c>
      <c r="J15" s="38">
        <f>N15</f>
        <v>100</v>
      </c>
      <c r="K15" s="37">
        <f t="shared" ref="K15:K49" si="1">IF(F15&gt;2999,F15-3000,IF(F15&gt;1499,F15-1500,IF(F15&gt;799,F15-800,IF(F15&gt;399,F15-400,IF(F15&gt;99,F15-100,F15)))))</f>
        <v>0</v>
      </c>
      <c r="L15" s="39">
        <f>(K15/I15)*100</f>
        <v>0</v>
      </c>
      <c r="M15" s="15">
        <f>(K15/I15)*1</f>
        <v>0</v>
      </c>
      <c r="N15" s="33">
        <f t="shared" ref="N15:N49" si="2">IF(E15&gt;5,5000,IF(E15 &gt;4,3000,IF(E15&gt;3,1500,IF(E15&gt;2,800,IF(E15&gt;1,400,100)))))</f>
        <v>100</v>
      </c>
      <c r="O15" s="40" t="str">
        <f>IF(M15&gt;=$P$10,M15," ")</f>
        <v xml:space="preserve"> </v>
      </c>
      <c r="P15" s="13" t="str">
        <f>IF(AND(M15&lt;$P$10,M15&gt;=$P$11),M15," ")</f>
        <v xml:space="preserve"> </v>
      </c>
      <c r="Q15" s="40">
        <f>IF(M15&lt;$P$11,M15," ")</f>
        <v>0</v>
      </c>
      <c r="R15" s="13">
        <f>MAX(1,M15)-M15</f>
        <v>1</v>
      </c>
    </row>
    <row r="16" spans="1:18" ht="27.95" customHeight="1" x14ac:dyDescent="0.35">
      <c r="A16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16" s="26"/>
      <c r="C16" s="30"/>
      <c r="D16" s="30"/>
      <c r="E16" s="42">
        <f t="shared" si="0"/>
        <v>1</v>
      </c>
      <c r="F16" s="32">
        <f>'RAW SCORE'!D5</f>
        <v>0</v>
      </c>
      <c r="G16" s="51" t="str">
        <f t="shared" ref="G16:G79" si="3">REPT("|",K16/I16*100)&amp;TEXT(K16/I16,"0%")</f>
        <v>0%</v>
      </c>
      <c r="I16" s="24">
        <f t="shared" ref="I16:I69" si="4">IF(J16&gt;2999,J16-1500,IF(J16&gt;1499,J16-800,IF(J16&gt;799,J16-400,IF(J16&gt;399,J16-100,100))))</f>
        <v>100</v>
      </c>
      <c r="J16" s="38">
        <f t="shared" ref="J16:J69" si="5">N16</f>
        <v>100</v>
      </c>
      <c r="K16" s="37">
        <f t="shared" si="1"/>
        <v>0</v>
      </c>
      <c r="L16" s="39">
        <f t="shared" ref="L16:L69" si="6">(K16/I16)*100</f>
        <v>0</v>
      </c>
      <c r="M16" s="15">
        <f t="shared" ref="M16:M69" si="7">(K16/I16)*1</f>
        <v>0</v>
      </c>
      <c r="N16" s="33">
        <f t="shared" si="2"/>
        <v>100</v>
      </c>
      <c r="O16" s="40" t="str">
        <f t="shared" ref="O16:O69" si="8">IF(M16&gt;=$P$10,M16," ")</f>
        <v xml:space="preserve"> </v>
      </c>
      <c r="P16" s="13" t="str">
        <f t="shared" ref="P16:P69" si="9">IF(AND(M16&lt;$P$10,M16&gt;=$P$11),M16," ")</f>
        <v xml:space="preserve"> </v>
      </c>
      <c r="Q16" s="40">
        <f t="shared" ref="Q16:Q69" si="10">IF(M16&lt;$P$11,M16," ")</f>
        <v>0</v>
      </c>
      <c r="R16" s="13">
        <f t="shared" ref="R16:R69" si="11">MAX(1,M16)-M16</f>
        <v>1</v>
      </c>
    </row>
    <row r="17" spans="1:18" ht="27.95" customHeight="1" x14ac:dyDescent="0.35">
      <c r="A17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17" s="26"/>
      <c r="C17" s="30"/>
      <c r="D17" s="30"/>
      <c r="E17" s="42">
        <f t="shared" si="0"/>
        <v>1</v>
      </c>
      <c r="F17" s="32">
        <f>'RAW SCORE'!D6</f>
        <v>0</v>
      </c>
      <c r="G17" s="51" t="str">
        <f t="shared" si="3"/>
        <v>0%</v>
      </c>
      <c r="I17" s="24">
        <f t="shared" si="4"/>
        <v>100</v>
      </c>
      <c r="J17" s="38">
        <f t="shared" si="5"/>
        <v>100</v>
      </c>
      <c r="K17" s="37">
        <f t="shared" si="1"/>
        <v>0</v>
      </c>
      <c r="L17" s="39">
        <f t="shared" si="6"/>
        <v>0</v>
      </c>
      <c r="M17" s="15">
        <f t="shared" si="7"/>
        <v>0</v>
      </c>
      <c r="N17" s="33">
        <f t="shared" si="2"/>
        <v>100</v>
      </c>
      <c r="O17" s="40" t="str">
        <f t="shared" si="8"/>
        <v xml:space="preserve"> </v>
      </c>
      <c r="P17" s="13" t="str">
        <f t="shared" si="9"/>
        <v xml:space="preserve"> </v>
      </c>
      <c r="Q17" s="40">
        <f t="shared" si="10"/>
        <v>0</v>
      </c>
      <c r="R17" s="13">
        <f t="shared" si="11"/>
        <v>1</v>
      </c>
    </row>
    <row r="18" spans="1:18" ht="27.95" customHeight="1" x14ac:dyDescent="0.35">
      <c r="A18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18" s="26"/>
      <c r="C18" s="30"/>
      <c r="D18" s="30"/>
      <c r="E18" s="42">
        <f t="shared" si="0"/>
        <v>1</v>
      </c>
      <c r="F18" s="32">
        <f>'RAW SCORE'!D7</f>
        <v>0</v>
      </c>
      <c r="G18" s="51" t="str">
        <f t="shared" si="3"/>
        <v>0%</v>
      </c>
      <c r="I18" s="24">
        <f t="shared" si="4"/>
        <v>100</v>
      </c>
      <c r="J18" s="38">
        <f t="shared" si="5"/>
        <v>100</v>
      </c>
      <c r="K18" s="37">
        <f t="shared" si="1"/>
        <v>0</v>
      </c>
      <c r="L18" s="39">
        <f t="shared" si="6"/>
        <v>0</v>
      </c>
      <c r="M18" s="15">
        <f t="shared" si="7"/>
        <v>0</v>
      </c>
      <c r="N18" s="33">
        <f t="shared" si="2"/>
        <v>100</v>
      </c>
      <c r="O18" s="40" t="str">
        <f t="shared" si="8"/>
        <v xml:space="preserve"> </v>
      </c>
      <c r="P18" s="13" t="str">
        <f t="shared" si="9"/>
        <v xml:space="preserve"> </v>
      </c>
      <c r="Q18" s="40">
        <f t="shared" si="10"/>
        <v>0</v>
      </c>
      <c r="R18" s="13">
        <f t="shared" si="11"/>
        <v>1</v>
      </c>
    </row>
    <row r="19" spans="1:18" ht="27.95" customHeight="1" x14ac:dyDescent="0.35">
      <c r="A19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19" s="26"/>
      <c r="C19" s="30"/>
      <c r="D19" s="30"/>
      <c r="E19" s="42">
        <f t="shared" si="0"/>
        <v>1</v>
      </c>
      <c r="F19" s="32">
        <f>'RAW SCORE'!D8</f>
        <v>0</v>
      </c>
      <c r="G19" s="51" t="str">
        <f t="shared" si="3"/>
        <v>0%</v>
      </c>
      <c r="I19" s="24">
        <f t="shared" si="4"/>
        <v>100</v>
      </c>
      <c r="J19" s="38">
        <f t="shared" si="5"/>
        <v>100</v>
      </c>
      <c r="K19" s="37">
        <f t="shared" si="1"/>
        <v>0</v>
      </c>
      <c r="L19" s="39">
        <f t="shared" si="6"/>
        <v>0</v>
      </c>
      <c r="M19" s="15">
        <f t="shared" si="7"/>
        <v>0</v>
      </c>
      <c r="N19" s="33">
        <f t="shared" si="2"/>
        <v>100</v>
      </c>
      <c r="O19" s="40" t="str">
        <f t="shared" si="8"/>
        <v xml:space="preserve"> </v>
      </c>
      <c r="P19" s="13" t="str">
        <f t="shared" si="9"/>
        <v xml:space="preserve"> </v>
      </c>
      <c r="Q19" s="40">
        <f t="shared" si="10"/>
        <v>0</v>
      </c>
      <c r="R19" s="13">
        <f t="shared" si="11"/>
        <v>1</v>
      </c>
    </row>
    <row r="20" spans="1:18" ht="27.75" customHeight="1" x14ac:dyDescent="0.35">
      <c r="A20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20" s="26"/>
      <c r="C20" s="30"/>
      <c r="D20" s="30"/>
      <c r="E20" s="42">
        <f t="shared" si="0"/>
        <v>1</v>
      </c>
      <c r="F20" s="32">
        <f>'RAW SCORE'!D9</f>
        <v>0</v>
      </c>
      <c r="G20" s="51" t="str">
        <f t="shared" si="3"/>
        <v>0%</v>
      </c>
      <c r="I20" s="24">
        <f t="shared" si="4"/>
        <v>100</v>
      </c>
      <c r="J20" s="38">
        <f t="shared" si="5"/>
        <v>100</v>
      </c>
      <c r="K20" s="37">
        <f t="shared" si="1"/>
        <v>0</v>
      </c>
      <c r="L20" s="39">
        <f t="shared" si="6"/>
        <v>0</v>
      </c>
      <c r="M20" s="15">
        <f t="shared" si="7"/>
        <v>0</v>
      </c>
      <c r="N20" s="33">
        <f t="shared" si="2"/>
        <v>100</v>
      </c>
      <c r="O20" s="40" t="str">
        <f t="shared" si="8"/>
        <v xml:space="preserve"> </v>
      </c>
      <c r="P20" s="13" t="str">
        <f t="shared" si="9"/>
        <v xml:space="preserve"> </v>
      </c>
      <c r="Q20" s="40">
        <f t="shared" si="10"/>
        <v>0</v>
      </c>
      <c r="R20" s="13">
        <f t="shared" si="11"/>
        <v>1</v>
      </c>
    </row>
    <row r="21" spans="1:18" ht="34.5" customHeight="1" x14ac:dyDescent="0.35">
      <c r="A21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21" s="26"/>
      <c r="C21" s="30"/>
      <c r="D21" s="30"/>
      <c r="E21" s="42">
        <f t="shared" si="0"/>
        <v>1</v>
      </c>
      <c r="F21" s="32">
        <f>'RAW SCORE'!D10</f>
        <v>0</v>
      </c>
      <c r="G21" s="51" t="str">
        <f t="shared" si="3"/>
        <v>0%</v>
      </c>
      <c r="I21" s="24">
        <f t="shared" si="4"/>
        <v>100</v>
      </c>
      <c r="J21" s="38">
        <f t="shared" si="5"/>
        <v>100</v>
      </c>
      <c r="K21" s="37">
        <f t="shared" si="1"/>
        <v>0</v>
      </c>
      <c r="L21" s="39">
        <f t="shared" si="6"/>
        <v>0</v>
      </c>
      <c r="M21" s="15">
        <f t="shared" si="7"/>
        <v>0</v>
      </c>
      <c r="N21" s="33">
        <f t="shared" si="2"/>
        <v>100</v>
      </c>
      <c r="O21" s="40" t="str">
        <f t="shared" si="8"/>
        <v xml:space="preserve"> </v>
      </c>
      <c r="P21" s="13" t="str">
        <f t="shared" si="9"/>
        <v xml:space="preserve"> </v>
      </c>
      <c r="Q21" s="40">
        <f t="shared" si="10"/>
        <v>0</v>
      </c>
      <c r="R21" s="13">
        <f t="shared" si="11"/>
        <v>1</v>
      </c>
    </row>
    <row r="22" spans="1:18" ht="27.75" customHeight="1" x14ac:dyDescent="0.35">
      <c r="A22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22" s="26"/>
      <c r="C22" s="30"/>
      <c r="D22" s="30"/>
      <c r="E22" s="42">
        <f t="shared" si="0"/>
        <v>1</v>
      </c>
      <c r="F22" s="32">
        <f>'RAW SCORE'!D11</f>
        <v>0</v>
      </c>
      <c r="G22" s="51" t="str">
        <f t="shared" si="3"/>
        <v>0%</v>
      </c>
      <c r="I22" s="24">
        <f t="shared" si="4"/>
        <v>100</v>
      </c>
      <c r="J22" s="38">
        <f t="shared" si="5"/>
        <v>100</v>
      </c>
      <c r="K22" s="37">
        <f t="shared" si="1"/>
        <v>0</v>
      </c>
      <c r="L22" s="39">
        <f t="shared" si="6"/>
        <v>0</v>
      </c>
      <c r="M22" s="15">
        <f t="shared" si="7"/>
        <v>0</v>
      </c>
      <c r="N22" s="33">
        <f t="shared" si="2"/>
        <v>100</v>
      </c>
      <c r="O22" s="40" t="str">
        <f t="shared" si="8"/>
        <v xml:space="preserve"> </v>
      </c>
      <c r="P22" s="13" t="str">
        <f t="shared" si="9"/>
        <v xml:space="preserve"> </v>
      </c>
      <c r="Q22" s="40">
        <f t="shared" si="10"/>
        <v>0</v>
      </c>
      <c r="R22" s="13">
        <f t="shared" si="11"/>
        <v>1</v>
      </c>
    </row>
    <row r="23" spans="1:18" ht="32.25" customHeight="1" x14ac:dyDescent="0.35">
      <c r="A23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23" s="26"/>
      <c r="C23" s="30"/>
      <c r="D23" s="30"/>
      <c r="E23" s="42">
        <f t="shared" si="0"/>
        <v>1</v>
      </c>
      <c r="F23" s="32">
        <f>'RAW SCORE'!D12</f>
        <v>0</v>
      </c>
      <c r="G23" s="51" t="str">
        <f t="shared" si="3"/>
        <v>0%</v>
      </c>
      <c r="I23" s="24">
        <f t="shared" si="4"/>
        <v>100</v>
      </c>
      <c r="J23" s="38">
        <f t="shared" si="5"/>
        <v>100</v>
      </c>
      <c r="K23" s="37">
        <f t="shared" si="1"/>
        <v>0</v>
      </c>
      <c r="L23" s="39">
        <f t="shared" si="6"/>
        <v>0</v>
      </c>
      <c r="M23" s="15">
        <f t="shared" si="7"/>
        <v>0</v>
      </c>
      <c r="N23" s="33">
        <f t="shared" si="2"/>
        <v>100</v>
      </c>
      <c r="O23" s="40" t="str">
        <f t="shared" si="8"/>
        <v xml:space="preserve"> </v>
      </c>
      <c r="P23" s="13" t="str">
        <f t="shared" si="9"/>
        <v xml:space="preserve"> </v>
      </c>
      <c r="Q23" s="40">
        <f t="shared" si="10"/>
        <v>0</v>
      </c>
      <c r="R23" s="13">
        <f t="shared" si="11"/>
        <v>1</v>
      </c>
    </row>
    <row r="24" spans="1:18" ht="32.25" customHeight="1" x14ac:dyDescent="0.35">
      <c r="B24" s="26"/>
      <c r="C24" s="54" t="s">
        <v>25</v>
      </c>
      <c r="D24" s="46"/>
      <c r="E24" s="53">
        <f>IF(AVERAGE(E25,E26,E27,E28,E29,E30,E31,E32,E33)&gt;5,1000,IF(AVERAGE(E25,E26,E27,E28,E29,E30,E31,E32,E33)&gt;4,500,IF(AVERAGE(E25,E26,E27,E28,E29,E30,E31,E32,E33)&gt;3,300,IF(AVERAGE(E25,E26,E27,E28,E29,E30,E31,E32,E33)&gt;2,150,IF(AVERAGE(E25,E26,E27,E28,E29,E30,E31,E32,E33)=2,50,0)))))</f>
        <v>0</v>
      </c>
      <c r="F24" s="49">
        <f>'RAW SCORE'!D13</f>
        <v>0</v>
      </c>
      <c r="G24" s="51"/>
      <c r="I24" s="24"/>
      <c r="J24" s="38"/>
      <c r="K24" s="37"/>
      <c r="L24" s="39"/>
      <c r="M24" s="15"/>
      <c r="N24" s="33"/>
      <c r="O24" s="40"/>
      <c r="P24" s="13"/>
      <c r="Q24" s="40"/>
      <c r="R24" s="13"/>
    </row>
    <row r="25" spans="1:18" ht="27.75" customHeight="1" x14ac:dyDescent="0.35">
      <c r="A25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25" s="26"/>
      <c r="C25" s="30"/>
      <c r="D25" s="30"/>
      <c r="E25" s="42">
        <f t="shared" si="0"/>
        <v>1</v>
      </c>
      <c r="F25" s="32">
        <f>'RAW SCORE'!D14</f>
        <v>0</v>
      </c>
      <c r="G25" s="51" t="str">
        <f t="shared" si="3"/>
        <v>0%</v>
      </c>
      <c r="I25" s="24">
        <f t="shared" si="4"/>
        <v>100</v>
      </c>
      <c r="J25" s="38">
        <f t="shared" si="5"/>
        <v>100</v>
      </c>
      <c r="K25" s="37">
        <f t="shared" si="1"/>
        <v>0</v>
      </c>
      <c r="L25" s="39">
        <f t="shared" si="6"/>
        <v>0</v>
      </c>
      <c r="M25" s="15">
        <f t="shared" si="7"/>
        <v>0</v>
      </c>
      <c r="N25" s="33">
        <f t="shared" si="2"/>
        <v>100</v>
      </c>
      <c r="O25" s="40" t="str">
        <f t="shared" si="8"/>
        <v xml:space="preserve"> </v>
      </c>
      <c r="P25" s="13" t="str">
        <f t="shared" si="9"/>
        <v xml:space="preserve"> </v>
      </c>
      <c r="Q25" s="40">
        <f t="shared" si="10"/>
        <v>0</v>
      </c>
      <c r="R25" s="13">
        <f t="shared" si="11"/>
        <v>1</v>
      </c>
    </row>
    <row r="26" spans="1:18" ht="27.75" customHeight="1" x14ac:dyDescent="0.35">
      <c r="A26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26" s="26"/>
      <c r="C26" s="30"/>
      <c r="D26" s="30"/>
      <c r="E26" s="42">
        <f t="shared" si="0"/>
        <v>1</v>
      </c>
      <c r="F26" s="32">
        <f>'RAW SCORE'!D15</f>
        <v>0</v>
      </c>
      <c r="G26" s="51" t="str">
        <f t="shared" si="3"/>
        <v>0%</v>
      </c>
      <c r="I26" s="24">
        <f t="shared" si="4"/>
        <v>100</v>
      </c>
      <c r="J26" s="38">
        <f t="shared" si="5"/>
        <v>100</v>
      </c>
      <c r="K26" s="37">
        <f t="shared" si="1"/>
        <v>0</v>
      </c>
      <c r="L26" s="39">
        <f t="shared" si="6"/>
        <v>0</v>
      </c>
      <c r="M26" s="15">
        <f t="shared" si="7"/>
        <v>0</v>
      </c>
      <c r="N26" s="33">
        <f t="shared" si="2"/>
        <v>100</v>
      </c>
      <c r="O26" s="40" t="str">
        <f t="shared" si="8"/>
        <v xml:space="preserve"> </v>
      </c>
      <c r="P26" s="13" t="str">
        <f t="shared" si="9"/>
        <v xml:space="preserve"> </v>
      </c>
      <c r="Q26" s="40">
        <f t="shared" si="10"/>
        <v>0</v>
      </c>
      <c r="R26" s="13">
        <f t="shared" si="11"/>
        <v>1</v>
      </c>
    </row>
    <row r="27" spans="1:18" ht="27.75" customHeight="1" x14ac:dyDescent="0.35">
      <c r="A27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27" s="26"/>
      <c r="C27" s="30"/>
      <c r="D27" s="30"/>
      <c r="E27" s="42">
        <f t="shared" si="0"/>
        <v>1</v>
      </c>
      <c r="F27" s="32">
        <f>'RAW SCORE'!D16</f>
        <v>0</v>
      </c>
      <c r="G27" s="51" t="str">
        <f t="shared" si="3"/>
        <v>0%</v>
      </c>
      <c r="I27" s="24">
        <f t="shared" si="4"/>
        <v>100</v>
      </c>
      <c r="J27" s="38">
        <f t="shared" si="5"/>
        <v>100</v>
      </c>
      <c r="K27" s="37">
        <f t="shared" si="1"/>
        <v>0</v>
      </c>
      <c r="L27" s="39">
        <f t="shared" si="6"/>
        <v>0</v>
      </c>
      <c r="M27" s="15">
        <f t="shared" si="7"/>
        <v>0</v>
      </c>
      <c r="N27" s="33">
        <f t="shared" si="2"/>
        <v>100</v>
      </c>
      <c r="O27" s="40" t="str">
        <f t="shared" si="8"/>
        <v xml:space="preserve"> </v>
      </c>
      <c r="P27" s="13" t="str">
        <f t="shared" si="9"/>
        <v xml:space="preserve"> </v>
      </c>
      <c r="Q27" s="40">
        <f t="shared" si="10"/>
        <v>0</v>
      </c>
      <c r="R27" s="13">
        <f t="shared" si="11"/>
        <v>1</v>
      </c>
    </row>
    <row r="28" spans="1:18" ht="35.25" customHeight="1" x14ac:dyDescent="0.35">
      <c r="A28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28" s="26"/>
      <c r="C28" s="30"/>
      <c r="D28" s="30"/>
      <c r="E28" s="42">
        <f t="shared" si="0"/>
        <v>1</v>
      </c>
      <c r="F28" s="32">
        <f>'RAW SCORE'!D17</f>
        <v>0</v>
      </c>
      <c r="G28" s="51" t="str">
        <f t="shared" si="3"/>
        <v>0%</v>
      </c>
      <c r="I28" s="24">
        <f t="shared" si="4"/>
        <v>100</v>
      </c>
      <c r="J28" s="38">
        <f t="shared" si="5"/>
        <v>100</v>
      </c>
      <c r="K28" s="37">
        <f t="shared" si="1"/>
        <v>0</v>
      </c>
      <c r="L28" s="39">
        <f t="shared" si="6"/>
        <v>0</v>
      </c>
      <c r="M28" s="15">
        <f t="shared" si="7"/>
        <v>0</v>
      </c>
      <c r="N28" s="33">
        <f t="shared" si="2"/>
        <v>100</v>
      </c>
      <c r="O28" s="40" t="str">
        <f t="shared" si="8"/>
        <v xml:space="preserve"> </v>
      </c>
      <c r="P28" s="13" t="str">
        <f t="shared" si="9"/>
        <v xml:space="preserve"> </v>
      </c>
      <c r="Q28" s="40">
        <f t="shared" si="10"/>
        <v>0</v>
      </c>
      <c r="R28" s="13">
        <f t="shared" si="11"/>
        <v>1</v>
      </c>
    </row>
    <row r="29" spans="1:18" ht="27.75" customHeight="1" x14ac:dyDescent="0.35">
      <c r="A29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29" s="26"/>
      <c r="C29" s="30"/>
      <c r="D29" s="30"/>
      <c r="E29" s="42">
        <f t="shared" si="0"/>
        <v>1</v>
      </c>
      <c r="F29" s="32">
        <f>'RAW SCORE'!D18</f>
        <v>0</v>
      </c>
      <c r="G29" s="51" t="str">
        <f t="shared" si="3"/>
        <v>0%</v>
      </c>
      <c r="I29" s="24">
        <f t="shared" si="4"/>
        <v>100</v>
      </c>
      <c r="J29" s="38">
        <f t="shared" si="5"/>
        <v>100</v>
      </c>
      <c r="K29" s="37">
        <f t="shared" si="1"/>
        <v>0</v>
      </c>
      <c r="L29" s="39">
        <f t="shared" si="6"/>
        <v>0</v>
      </c>
      <c r="M29" s="15">
        <f t="shared" si="7"/>
        <v>0</v>
      </c>
      <c r="N29" s="33">
        <f t="shared" si="2"/>
        <v>100</v>
      </c>
      <c r="O29" s="40" t="str">
        <f t="shared" si="8"/>
        <v xml:space="preserve"> </v>
      </c>
      <c r="P29" s="13" t="str">
        <f t="shared" si="9"/>
        <v xml:space="preserve"> </v>
      </c>
      <c r="Q29" s="40">
        <f t="shared" si="10"/>
        <v>0</v>
      </c>
      <c r="R29" s="13">
        <f t="shared" si="11"/>
        <v>1</v>
      </c>
    </row>
    <row r="30" spans="1:18" ht="27.75" customHeight="1" x14ac:dyDescent="0.35">
      <c r="A30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30" s="26"/>
      <c r="C30" s="30"/>
      <c r="D30" s="30"/>
      <c r="E30" s="42">
        <f t="shared" si="0"/>
        <v>1</v>
      </c>
      <c r="F30" s="32">
        <f>'RAW SCORE'!D19</f>
        <v>0</v>
      </c>
      <c r="G30" s="51" t="str">
        <f t="shared" si="3"/>
        <v>0%</v>
      </c>
      <c r="I30" s="24">
        <f t="shared" si="4"/>
        <v>100</v>
      </c>
      <c r="J30" s="38">
        <f t="shared" si="5"/>
        <v>100</v>
      </c>
      <c r="K30" s="37">
        <f t="shared" si="1"/>
        <v>0</v>
      </c>
      <c r="L30" s="39">
        <f t="shared" si="6"/>
        <v>0</v>
      </c>
      <c r="M30" s="15">
        <f t="shared" si="7"/>
        <v>0</v>
      </c>
      <c r="N30" s="33">
        <f t="shared" si="2"/>
        <v>100</v>
      </c>
      <c r="O30" s="40" t="str">
        <f t="shared" si="8"/>
        <v xml:space="preserve"> </v>
      </c>
      <c r="P30" s="13" t="str">
        <f t="shared" si="9"/>
        <v xml:space="preserve"> </v>
      </c>
      <c r="Q30" s="40">
        <f t="shared" si="10"/>
        <v>0</v>
      </c>
      <c r="R30" s="13">
        <f t="shared" si="11"/>
        <v>1</v>
      </c>
    </row>
    <row r="31" spans="1:18" ht="31.5" customHeight="1" x14ac:dyDescent="0.35">
      <c r="A31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31" s="26"/>
      <c r="C31" s="30"/>
      <c r="D31" s="30"/>
      <c r="E31" s="42">
        <f t="shared" si="0"/>
        <v>1</v>
      </c>
      <c r="F31" s="32">
        <f>'RAW SCORE'!D20</f>
        <v>0</v>
      </c>
      <c r="G31" s="51" t="str">
        <f t="shared" si="3"/>
        <v>0%</v>
      </c>
      <c r="I31" s="24">
        <f t="shared" si="4"/>
        <v>100</v>
      </c>
      <c r="J31" s="38">
        <f t="shared" si="5"/>
        <v>100</v>
      </c>
      <c r="K31" s="37">
        <f t="shared" si="1"/>
        <v>0</v>
      </c>
      <c r="L31" s="39">
        <f t="shared" si="6"/>
        <v>0</v>
      </c>
      <c r="M31" s="15">
        <f t="shared" si="7"/>
        <v>0</v>
      </c>
      <c r="N31" s="33">
        <f t="shared" si="2"/>
        <v>100</v>
      </c>
      <c r="O31" s="40" t="str">
        <f t="shared" si="8"/>
        <v xml:space="preserve"> </v>
      </c>
      <c r="P31" s="13" t="str">
        <f t="shared" si="9"/>
        <v xml:space="preserve"> </v>
      </c>
      <c r="Q31" s="40">
        <f t="shared" si="10"/>
        <v>0</v>
      </c>
      <c r="R31" s="13">
        <f t="shared" si="11"/>
        <v>1</v>
      </c>
    </row>
    <row r="32" spans="1:18" ht="27.75" customHeight="1" x14ac:dyDescent="0.35">
      <c r="A32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32" s="26"/>
      <c r="C32" s="30"/>
      <c r="D32" s="30"/>
      <c r="E32" s="42">
        <f t="shared" si="0"/>
        <v>1</v>
      </c>
      <c r="F32" s="32">
        <f>'RAW SCORE'!D21</f>
        <v>0</v>
      </c>
      <c r="G32" s="51" t="str">
        <f t="shared" si="3"/>
        <v>0%</v>
      </c>
      <c r="I32" s="24">
        <f t="shared" si="4"/>
        <v>100</v>
      </c>
      <c r="J32" s="38">
        <f t="shared" si="5"/>
        <v>100</v>
      </c>
      <c r="K32" s="37">
        <f t="shared" si="1"/>
        <v>0</v>
      </c>
      <c r="L32" s="39">
        <f t="shared" si="6"/>
        <v>0</v>
      </c>
      <c r="M32" s="15">
        <f t="shared" si="7"/>
        <v>0</v>
      </c>
      <c r="N32" s="33">
        <f t="shared" si="2"/>
        <v>100</v>
      </c>
      <c r="O32" s="40" t="str">
        <f t="shared" si="8"/>
        <v xml:space="preserve"> </v>
      </c>
      <c r="P32" s="13" t="str">
        <f t="shared" si="9"/>
        <v xml:space="preserve"> </v>
      </c>
      <c r="Q32" s="40">
        <f t="shared" si="10"/>
        <v>0</v>
      </c>
      <c r="R32" s="13">
        <f t="shared" si="11"/>
        <v>1</v>
      </c>
    </row>
    <row r="33" spans="1:18" ht="27.75" customHeight="1" x14ac:dyDescent="0.35">
      <c r="A33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33" s="26"/>
      <c r="C33" s="30"/>
      <c r="D33" s="30"/>
      <c r="E33" s="42">
        <f t="shared" si="0"/>
        <v>1</v>
      </c>
      <c r="F33" s="32">
        <f>'RAW SCORE'!D22</f>
        <v>0</v>
      </c>
      <c r="G33" s="51" t="str">
        <f t="shared" si="3"/>
        <v>0%</v>
      </c>
      <c r="I33" s="24">
        <f t="shared" si="4"/>
        <v>100</v>
      </c>
      <c r="J33" s="38">
        <f t="shared" si="5"/>
        <v>100</v>
      </c>
      <c r="K33" s="37">
        <f t="shared" si="1"/>
        <v>0</v>
      </c>
      <c r="L33" s="39">
        <f t="shared" si="6"/>
        <v>0</v>
      </c>
      <c r="M33" s="15">
        <f t="shared" si="7"/>
        <v>0</v>
      </c>
      <c r="N33" s="33">
        <f t="shared" si="2"/>
        <v>100</v>
      </c>
      <c r="O33" s="40" t="str">
        <f t="shared" si="8"/>
        <v xml:space="preserve"> </v>
      </c>
      <c r="P33" s="13" t="str">
        <f t="shared" si="9"/>
        <v xml:space="preserve"> </v>
      </c>
      <c r="Q33" s="40">
        <f t="shared" si="10"/>
        <v>0</v>
      </c>
      <c r="R33" s="13">
        <f t="shared" si="11"/>
        <v>1</v>
      </c>
    </row>
    <row r="34" spans="1:18" ht="27.75" customHeight="1" x14ac:dyDescent="0.35">
      <c r="B34" s="26"/>
      <c r="C34" s="54" t="s">
        <v>26</v>
      </c>
      <c r="D34" s="46"/>
      <c r="E34" s="53">
        <f>IF(AVERAGE(E35,E36,E37,E38,E39,E40,E41,E42,E43)&gt;5,1000,IF(AVERAGE(E35,E36,E37,E38,E39,E40,E41,E42,E43)&gt;4,500,IF(AVERAGE(E35,E36,E37,E38,E39,E40,E41,E42,E43)&gt;3,300,IF(AVERAGE(E35,E36,E37,E38,E39,E40,E41,E42,E43)&gt;2,150,IF(AVERAGE(E35,E36,E37,E38,E39,E40,E41,E42,E43)=2,50,0)))))</f>
        <v>0</v>
      </c>
      <c r="F34" s="49">
        <f>'RAW SCORE'!D23</f>
        <v>0</v>
      </c>
      <c r="G34" s="51"/>
      <c r="I34" s="24"/>
      <c r="J34" s="38"/>
      <c r="K34" s="37"/>
      <c r="L34" s="39"/>
      <c r="M34" s="15"/>
      <c r="N34" s="33"/>
      <c r="O34" s="40"/>
      <c r="P34" s="13"/>
      <c r="Q34" s="40"/>
      <c r="R34" s="13"/>
    </row>
    <row r="35" spans="1:18" ht="27.75" customHeight="1" x14ac:dyDescent="0.35">
      <c r="A35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35" s="26"/>
      <c r="C35" s="30"/>
      <c r="D35" s="30"/>
      <c r="E35" s="42">
        <f t="shared" si="0"/>
        <v>1</v>
      </c>
      <c r="F35" s="32">
        <f>'RAW SCORE'!D24</f>
        <v>0</v>
      </c>
      <c r="G35" s="51" t="str">
        <f t="shared" si="3"/>
        <v>0%</v>
      </c>
      <c r="I35" s="24">
        <f t="shared" si="4"/>
        <v>100</v>
      </c>
      <c r="J35" s="38">
        <f t="shared" si="5"/>
        <v>100</v>
      </c>
      <c r="K35" s="37">
        <f t="shared" si="1"/>
        <v>0</v>
      </c>
      <c r="L35" s="39">
        <f t="shared" si="6"/>
        <v>0</v>
      </c>
      <c r="M35" s="15">
        <f t="shared" si="7"/>
        <v>0</v>
      </c>
      <c r="N35" s="33">
        <f t="shared" si="2"/>
        <v>100</v>
      </c>
      <c r="O35" s="40" t="str">
        <f t="shared" si="8"/>
        <v xml:space="preserve"> </v>
      </c>
      <c r="P35" s="13" t="str">
        <f t="shared" si="9"/>
        <v xml:space="preserve"> </v>
      </c>
      <c r="Q35" s="40">
        <f t="shared" si="10"/>
        <v>0</v>
      </c>
      <c r="R35" s="13">
        <f t="shared" si="11"/>
        <v>1</v>
      </c>
    </row>
    <row r="36" spans="1:18" ht="27.75" customHeight="1" x14ac:dyDescent="0.35">
      <c r="A36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36" s="26"/>
      <c r="C36" s="30"/>
      <c r="D36" s="30"/>
      <c r="E36" s="42">
        <f t="shared" si="0"/>
        <v>1</v>
      </c>
      <c r="F36" s="32">
        <f>'RAW SCORE'!D25</f>
        <v>0</v>
      </c>
      <c r="G36" s="51" t="str">
        <f t="shared" si="3"/>
        <v>0%</v>
      </c>
      <c r="I36" s="24">
        <f t="shared" si="4"/>
        <v>100</v>
      </c>
      <c r="J36" s="38">
        <f t="shared" si="5"/>
        <v>100</v>
      </c>
      <c r="K36" s="37">
        <f t="shared" si="1"/>
        <v>0</v>
      </c>
      <c r="L36" s="39">
        <f t="shared" si="6"/>
        <v>0</v>
      </c>
      <c r="M36" s="15">
        <f t="shared" si="7"/>
        <v>0</v>
      </c>
      <c r="N36" s="33">
        <f t="shared" si="2"/>
        <v>100</v>
      </c>
      <c r="O36" s="40" t="str">
        <f t="shared" si="8"/>
        <v xml:space="preserve"> </v>
      </c>
      <c r="P36" s="13" t="str">
        <f t="shared" si="9"/>
        <v xml:space="preserve"> </v>
      </c>
      <c r="Q36" s="40">
        <f t="shared" si="10"/>
        <v>0</v>
      </c>
      <c r="R36" s="13">
        <f t="shared" si="11"/>
        <v>1</v>
      </c>
    </row>
    <row r="37" spans="1:18" ht="27.75" customHeight="1" x14ac:dyDescent="0.35">
      <c r="A37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37" s="26"/>
      <c r="C37" s="30"/>
      <c r="D37" s="30"/>
      <c r="E37" s="42">
        <f t="shared" si="0"/>
        <v>1</v>
      </c>
      <c r="F37" s="32">
        <f>'RAW SCORE'!D26</f>
        <v>0</v>
      </c>
      <c r="G37" s="51" t="str">
        <f t="shared" si="3"/>
        <v>0%</v>
      </c>
      <c r="I37" s="24">
        <f t="shared" si="4"/>
        <v>100</v>
      </c>
      <c r="J37" s="38">
        <f t="shared" si="5"/>
        <v>100</v>
      </c>
      <c r="K37" s="37">
        <f t="shared" si="1"/>
        <v>0</v>
      </c>
      <c r="L37" s="39">
        <f t="shared" si="6"/>
        <v>0</v>
      </c>
      <c r="M37" s="15">
        <f t="shared" si="7"/>
        <v>0</v>
      </c>
      <c r="N37" s="33">
        <f t="shared" si="2"/>
        <v>100</v>
      </c>
      <c r="O37" s="40" t="str">
        <f t="shared" si="8"/>
        <v xml:space="preserve"> </v>
      </c>
      <c r="P37" s="13" t="str">
        <f t="shared" si="9"/>
        <v xml:space="preserve"> </v>
      </c>
      <c r="Q37" s="40">
        <f t="shared" si="10"/>
        <v>0</v>
      </c>
      <c r="R37" s="13">
        <f t="shared" si="11"/>
        <v>1</v>
      </c>
    </row>
    <row r="38" spans="1:18" ht="27.75" customHeight="1" x14ac:dyDescent="0.35">
      <c r="A38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38" s="26"/>
      <c r="C38" s="30"/>
      <c r="D38" s="30"/>
      <c r="E38" s="42">
        <f t="shared" si="0"/>
        <v>1</v>
      </c>
      <c r="F38" s="32">
        <f>'RAW SCORE'!D27</f>
        <v>0</v>
      </c>
      <c r="G38" s="51" t="str">
        <f t="shared" si="3"/>
        <v>0%</v>
      </c>
      <c r="I38" s="24">
        <f t="shared" si="4"/>
        <v>100</v>
      </c>
      <c r="J38" s="38">
        <f t="shared" si="5"/>
        <v>100</v>
      </c>
      <c r="K38" s="37">
        <f t="shared" si="1"/>
        <v>0</v>
      </c>
      <c r="L38" s="39">
        <f t="shared" si="6"/>
        <v>0</v>
      </c>
      <c r="M38" s="15">
        <f t="shared" si="7"/>
        <v>0</v>
      </c>
      <c r="N38" s="33">
        <f t="shared" si="2"/>
        <v>100</v>
      </c>
      <c r="O38" s="40" t="str">
        <f t="shared" si="8"/>
        <v xml:space="preserve"> </v>
      </c>
      <c r="P38" s="13" t="str">
        <f t="shared" si="9"/>
        <v xml:space="preserve"> </v>
      </c>
      <c r="Q38" s="40">
        <f t="shared" si="10"/>
        <v>0</v>
      </c>
      <c r="R38" s="13">
        <f t="shared" si="11"/>
        <v>1</v>
      </c>
    </row>
    <row r="39" spans="1:18" ht="27.75" customHeight="1" x14ac:dyDescent="0.35">
      <c r="A39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39" s="26"/>
      <c r="C39" s="30"/>
      <c r="D39" s="30"/>
      <c r="E39" s="42">
        <f t="shared" si="0"/>
        <v>1</v>
      </c>
      <c r="F39" s="32">
        <f>'RAW SCORE'!D28</f>
        <v>0</v>
      </c>
      <c r="G39" s="51" t="str">
        <f t="shared" si="3"/>
        <v>0%</v>
      </c>
      <c r="I39" s="24">
        <f t="shared" si="4"/>
        <v>100</v>
      </c>
      <c r="J39" s="38">
        <f t="shared" si="5"/>
        <v>100</v>
      </c>
      <c r="K39" s="37">
        <f t="shared" si="1"/>
        <v>0</v>
      </c>
      <c r="L39" s="39">
        <f t="shared" si="6"/>
        <v>0</v>
      </c>
      <c r="M39" s="15">
        <f t="shared" si="7"/>
        <v>0</v>
      </c>
      <c r="N39" s="33">
        <f t="shared" si="2"/>
        <v>100</v>
      </c>
      <c r="O39" s="40" t="str">
        <f t="shared" si="8"/>
        <v xml:space="preserve"> </v>
      </c>
      <c r="P39" s="13" t="str">
        <f t="shared" si="9"/>
        <v xml:space="preserve"> </v>
      </c>
      <c r="Q39" s="40">
        <f t="shared" si="10"/>
        <v>0</v>
      </c>
      <c r="R39" s="13">
        <f t="shared" si="11"/>
        <v>1</v>
      </c>
    </row>
    <row r="40" spans="1:18" ht="30.75" customHeight="1" x14ac:dyDescent="0.35">
      <c r="A40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40" s="26"/>
      <c r="C40" s="30"/>
      <c r="D40" s="30"/>
      <c r="E40" s="42">
        <f t="shared" si="0"/>
        <v>1</v>
      </c>
      <c r="F40" s="32">
        <f>'RAW SCORE'!D29</f>
        <v>0</v>
      </c>
      <c r="G40" s="51" t="str">
        <f t="shared" si="3"/>
        <v>0%</v>
      </c>
      <c r="I40" s="24">
        <f t="shared" si="4"/>
        <v>100</v>
      </c>
      <c r="J40" s="38">
        <f t="shared" si="5"/>
        <v>100</v>
      </c>
      <c r="K40" s="37">
        <f t="shared" si="1"/>
        <v>0</v>
      </c>
      <c r="L40" s="39">
        <f t="shared" si="6"/>
        <v>0</v>
      </c>
      <c r="M40" s="15">
        <f t="shared" si="7"/>
        <v>0</v>
      </c>
      <c r="N40" s="33">
        <f t="shared" si="2"/>
        <v>100</v>
      </c>
      <c r="O40" s="40" t="str">
        <f t="shared" si="8"/>
        <v xml:space="preserve"> </v>
      </c>
      <c r="P40" s="13" t="str">
        <f t="shared" si="9"/>
        <v xml:space="preserve"> </v>
      </c>
      <c r="Q40" s="40">
        <f t="shared" si="10"/>
        <v>0</v>
      </c>
      <c r="R40" s="13">
        <f t="shared" si="11"/>
        <v>1</v>
      </c>
    </row>
    <row r="41" spans="1:18" ht="27.75" customHeight="1" x14ac:dyDescent="0.35">
      <c r="A41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41" s="26"/>
      <c r="C41" s="30"/>
      <c r="D41" s="30"/>
      <c r="E41" s="42">
        <f t="shared" si="0"/>
        <v>1</v>
      </c>
      <c r="F41" s="32">
        <f>'RAW SCORE'!D30</f>
        <v>0</v>
      </c>
      <c r="G41" s="51" t="str">
        <f t="shared" si="3"/>
        <v>0%</v>
      </c>
      <c r="I41" s="24">
        <f t="shared" si="4"/>
        <v>100</v>
      </c>
      <c r="J41" s="38">
        <f t="shared" si="5"/>
        <v>100</v>
      </c>
      <c r="K41" s="37">
        <f t="shared" si="1"/>
        <v>0</v>
      </c>
      <c r="L41" s="39">
        <f t="shared" si="6"/>
        <v>0</v>
      </c>
      <c r="M41" s="15">
        <f t="shared" si="7"/>
        <v>0</v>
      </c>
      <c r="N41" s="33">
        <f t="shared" si="2"/>
        <v>100</v>
      </c>
      <c r="O41" s="40" t="str">
        <f t="shared" si="8"/>
        <v xml:space="preserve"> </v>
      </c>
      <c r="P41" s="13" t="str">
        <f t="shared" si="9"/>
        <v xml:space="preserve"> </v>
      </c>
      <c r="Q41" s="40">
        <f t="shared" si="10"/>
        <v>0</v>
      </c>
      <c r="R41" s="13">
        <f t="shared" si="11"/>
        <v>1</v>
      </c>
    </row>
    <row r="42" spans="1:18" ht="27.75" customHeight="1" x14ac:dyDescent="0.35">
      <c r="A42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42" s="26"/>
      <c r="C42" s="30"/>
      <c r="D42" s="30"/>
      <c r="E42" s="42">
        <f t="shared" si="0"/>
        <v>1</v>
      </c>
      <c r="F42" s="32">
        <f>'RAW SCORE'!D31</f>
        <v>0</v>
      </c>
      <c r="G42" s="51" t="str">
        <f t="shared" si="3"/>
        <v>0%</v>
      </c>
      <c r="I42" s="24">
        <f t="shared" si="4"/>
        <v>100</v>
      </c>
      <c r="J42" s="38">
        <f t="shared" si="5"/>
        <v>100</v>
      </c>
      <c r="K42" s="37">
        <f t="shared" si="1"/>
        <v>0</v>
      </c>
      <c r="L42" s="39">
        <f t="shared" si="6"/>
        <v>0</v>
      </c>
      <c r="M42" s="15">
        <f t="shared" si="7"/>
        <v>0</v>
      </c>
      <c r="N42" s="33">
        <f t="shared" si="2"/>
        <v>100</v>
      </c>
      <c r="O42" s="40" t="str">
        <f t="shared" si="8"/>
        <v xml:space="preserve"> </v>
      </c>
      <c r="P42" s="13" t="str">
        <f t="shared" si="9"/>
        <v xml:space="preserve"> </v>
      </c>
      <c r="Q42" s="40">
        <f t="shared" si="10"/>
        <v>0</v>
      </c>
      <c r="R42" s="13">
        <f t="shared" si="11"/>
        <v>1</v>
      </c>
    </row>
    <row r="43" spans="1:18" ht="27.75" customHeight="1" x14ac:dyDescent="0.35">
      <c r="A43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43" s="26"/>
      <c r="C43" s="30"/>
      <c r="D43" s="30"/>
      <c r="E43" s="42">
        <f t="shared" si="0"/>
        <v>1</v>
      </c>
      <c r="F43" s="32">
        <f>'RAW SCORE'!D32</f>
        <v>0</v>
      </c>
      <c r="G43" s="51" t="str">
        <f t="shared" si="3"/>
        <v>0%</v>
      </c>
      <c r="I43" s="24">
        <f t="shared" si="4"/>
        <v>100</v>
      </c>
      <c r="J43" s="38">
        <f t="shared" si="5"/>
        <v>100</v>
      </c>
      <c r="K43" s="37">
        <f t="shared" si="1"/>
        <v>0</v>
      </c>
      <c r="L43" s="39">
        <f t="shared" si="6"/>
        <v>0</v>
      </c>
      <c r="M43" s="15">
        <f t="shared" si="7"/>
        <v>0</v>
      </c>
      <c r="N43" s="33">
        <f t="shared" si="2"/>
        <v>100</v>
      </c>
      <c r="O43" s="40" t="str">
        <f t="shared" si="8"/>
        <v xml:space="preserve"> </v>
      </c>
      <c r="P43" s="13" t="str">
        <f t="shared" si="9"/>
        <v xml:space="preserve"> </v>
      </c>
      <c r="Q43" s="40">
        <f t="shared" si="10"/>
        <v>0</v>
      </c>
      <c r="R43" s="13">
        <f t="shared" si="11"/>
        <v>1</v>
      </c>
    </row>
    <row r="44" spans="1:18" ht="27.75" customHeight="1" x14ac:dyDescent="0.35">
      <c r="B44" s="26"/>
      <c r="C44" s="54" t="s">
        <v>27</v>
      </c>
      <c r="D44" s="46"/>
      <c r="E44" s="53">
        <f>IF(AVERAGE(E45,E46,E47,E48,E49,E50,E51,E52,E53)&gt;5,1000,IF(AVERAGE(E45,E46,E47,E48,E49,E50,E51,E52,E53)&gt;4,500,IF(AVERAGE(E45,E46,E47,E48,E49,E50,E51,E52,E53)&gt;3,300,IF(AVERAGE(E45,E46,E47,E48,E49,E50,E51,E52,E53)&gt;2,150,IF(AVERAGE(E45,E46,E47,E48,E49,E50,E51,E52,E53)=2,50,0)))))</f>
        <v>0</v>
      </c>
      <c r="F44" s="49">
        <f>'RAW SCORE'!D33</f>
        <v>0</v>
      </c>
      <c r="G44" s="51"/>
      <c r="I44" s="24"/>
      <c r="J44" s="38"/>
      <c r="K44" s="37"/>
      <c r="L44" s="39"/>
      <c r="M44" s="15"/>
      <c r="N44" s="33"/>
      <c r="O44" s="40"/>
      <c r="P44" s="13"/>
      <c r="Q44" s="40"/>
      <c r="R44" s="13"/>
    </row>
    <row r="45" spans="1:18" ht="27.75" customHeight="1" x14ac:dyDescent="0.35">
      <c r="A45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45" s="26"/>
      <c r="C45" s="30"/>
      <c r="D45" s="30"/>
      <c r="E45" s="42">
        <f t="shared" si="0"/>
        <v>1</v>
      </c>
      <c r="F45" s="32">
        <f>'RAW SCORE'!D34</f>
        <v>0</v>
      </c>
      <c r="G45" s="51" t="str">
        <f t="shared" si="3"/>
        <v>0%</v>
      </c>
      <c r="I45" s="24">
        <f t="shared" si="4"/>
        <v>100</v>
      </c>
      <c r="J45" s="38">
        <f t="shared" si="5"/>
        <v>100</v>
      </c>
      <c r="K45" s="37">
        <f t="shared" si="1"/>
        <v>0</v>
      </c>
      <c r="L45" s="39">
        <f t="shared" si="6"/>
        <v>0</v>
      </c>
      <c r="M45" s="15">
        <f t="shared" si="7"/>
        <v>0</v>
      </c>
      <c r="N45" s="33">
        <f t="shared" si="2"/>
        <v>100</v>
      </c>
      <c r="O45" s="40" t="str">
        <f t="shared" si="8"/>
        <v xml:space="preserve"> </v>
      </c>
      <c r="P45" s="13" t="str">
        <f t="shared" si="9"/>
        <v xml:space="preserve"> </v>
      </c>
      <c r="Q45" s="40">
        <f t="shared" si="10"/>
        <v>0</v>
      </c>
      <c r="R45" s="13">
        <f t="shared" si="11"/>
        <v>1</v>
      </c>
    </row>
    <row r="46" spans="1:18" ht="27.75" customHeight="1" x14ac:dyDescent="0.35">
      <c r="A46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46" s="26"/>
      <c r="C46" s="30"/>
      <c r="D46" s="30"/>
      <c r="E46" s="42">
        <f t="shared" ref="E46:E77" si="12">IF(F46&gt;2999,6,IF(F46 &gt;1499,5,IF(F46&gt;799,4,IF(F46&gt;399,3,IF(F46&gt;99,2,1)))))</f>
        <v>1</v>
      </c>
      <c r="F46" s="32">
        <f>'RAW SCORE'!D35</f>
        <v>0</v>
      </c>
      <c r="G46" s="51" t="str">
        <f t="shared" si="3"/>
        <v>0%</v>
      </c>
      <c r="I46" s="24">
        <f t="shared" si="4"/>
        <v>100</v>
      </c>
      <c r="J46" s="38">
        <f t="shared" si="5"/>
        <v>100</v>
      </c>
      <c r="K46" s="37">
        <f t="shared" si="1"/>
        <v>0</v>
      </c>
      <c r="L46" s="39">
        <f t="shared" si="6"/>
        <v>0</v>
      </c>
      <c r="M46" s="15">
        <f t="shared" si="7"/>
        <v>0</v>
      </c>
      <c r="N46" s="33">
        <f t="shared" si="2"/>
        <v>100</v>
      </c>
      <c r="O46" s="40" t="str">
        <f t="shared" si="8"/>
        <v xml:space="preserve"> </v>
      </c>
      <c r="P46" s="13" t="str">
        <f t="shared" si="9"/>
        <v xml:space="preserve"> </v>
      </c>
      <c r="Q46" s="40">
        <f t="shared" si="10"/>
        <v>0</v>
      </c>
      <c r="R46" s="13">
        <f t="shared" si="11"/>
        <v>1</v>
      </c>
    </row>
    <row r="47" spans="1:18" ht="27.75" customHeight="1" x14ac:dyDescent="0.35">
      <c r="A47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47" s="26"/>
      <c r="C47" s="30"/>
      <c r="D47" s="30"/>
      <c r="E47" s="42">
        <f t="shared" si="12"/>
        <v>1</v>
      </c>
      <c r="F47" s="32">
        <f>'RAW SCORE'!D36</f>
        <v>0</v>
      </c>
      <c r="G47" s="51" t="str">
        <f t="shared" si="3"/>
        <v>0%</v>
      </c>
      <c r="I47" s="24">
        <f t="shared" si="4"/>
        <v>100</v>
      </c>
      <c r="J47" s="38">
        <f t="shared" si="5"/>
        <v>100</v>
      </c>
      <c r="K47" s="37">
        <f t="shared" si="1"/>
        <v>0</v>
      </c>
      <c r="L47" s="39">
        <f t="shared" si="6"/>
        <v>0</v>
      </c>
      <c r="M47" s="15">
        <f t="shared" si="7"/>
        <v>0</v>
      </c>
      <c r="N47" s="33">
        <f t="shared" si="2"/>
        <v>100</v>
      </c>
      <c r="O47" s="40" t="str">
        <f t="shared" si="8"/>
        <v xml:space="preserve"> </v>
      </c>
      <c r="P47" s="13" t="str">
        <f t="shared" si="9"/>
        <v xml:space="preserve"> </v>
      </c>
      <c r="Q47" s="40">
        <f t="shared" si="10"/>
        <v>0</v>
      </c>
      <c r="R47" s="13">
        <f t="shared" si="11"/>
        <v>1</v>
      </c>
    </row>
    <row r="48" spans="1:18" ht="27.75" customHeight="1" x14ac:dyDescent="0.35">
      <c r="A48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48" s="26"/>
      <c r="C48" s="30"/>
      <c r="D48" s="30"/>
      <c r="E48" s="42">
        <f t="shared" si="12"/>
        <v>1</v>
      </c>
      <c r="F48" s="32">
        <f>'RAW SCORE'!D37</f>
        <v>0</v>
      </c>
      <c r="G48" s="51" t="str">
        <f t="shared" si="3"/>
        <v>0%</v>
      </c>
      <c r="I48" s="24">
        <f t="shared" si="4"/>
        <v>100</v>
      </c>
      <c r="J48" s="38">
        <f t="shared" si="5"/>
        <v>100</v>
      </c>
      <c r="K48" s="37">
        <f t="shared" si="1"/>
        <v>0</v>
      </c>
      <c r="L48" s="39">
        <f t="shared" si="6"/>
        <v>0</v>
      </c>
      <c r="M48" s="15">
        <f t="shared" si="7"/>
        <v>0</v>
      </c>
      <c r="N48" s="33">
        <f t="shared" si="2"/>
        <v>100</v>
      </c>
      <c r="O48" s="40" t="str">
        <f t="shared" si="8"/>
        <v xml:space="preserve"> </v>
      </c>
      <c r="P48" s="13" t="str">
        <f t="shared" si="9"/>
        <v xml:space="preserve"> </v>
      </c>
      <c r="Q48" s="40">
        <f t="shared" si="10"/>
        <v>0</v>
      </c>
      <c r="R48" s="13">
        <f t="shared" si="11"/>
        <v>1</v>
      </c>
    </row>
    <row r="49" spans="1:18" ht="27.75" customHeight="1" x14ac:dyDescent="0.35">
      <c r="A49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49" s="26"/>
      <c r="C49" s="30"/>
      <c r="D49" s="30"/>
      <c r="E49" s="42">
        <f t="shared" si="12"/>
        <v>1</v>
      </c>
      <c r="F49" s="32">
        <f>'RAW SCORE'!D38</f>
        <v>0</v>
      </c>
      <c r="G49" s="51" t="str">
        <f t="shared" si="3"/>
        <v>0%</v>
      </c>
      <c r="I49" s="24">
        <f t="shared" si="4"/>
        <v>100</v>
      </c>
      <c r="J49" s="38">
        <f t="shared" si="5"/>
        <v>100</v>
      </c>
      <c r="K49" s="37">
        <f t="shared" si="1"/>
        <v>0</v>
      </c>
      <c r="L49" s="39">
        <f t="shared" si="6"/>
        <v>0</v>
      </c>
      <c r="M49" s="15">
        <f t="shared" si="7"/>
        <v>0</v>
      </c>
      <c r="N49" s="33">
        <f t="shared" si="2"/>
        <v>100</v>
      </c>
      <c r="O49" s="40" t="str">
        <f t="shared" si="8"/>
        <v xml:space="preserve"> </v>
      </c>
      <c r="P49" s="13" t="str">
        <f t="shared" si="9"/>
        <v xml:space="preserve"> </v>
      </c>
      <c r="Q49" s="40">
        <f t="shared" si="10"/>
        <v>0</v>
      </c>
      <c r="R49" s="13">
        <f t="shared" si="11"/>
        <v>1</v>
      </c>
    </row>
    <row r="50" spans="1:18" ht="32.25" customHeight="1" x14ac:dyDescent="0.35">
      <c r="A50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50" s="26"/>
      <c r="C50" s="30"/>
      <c r="D50" s="30"/>
      <c r="E50" s="42">
        <f t="shared" si="12"/>
        <v>1</v>
      </c>
      <c r="F50" s="32">
        <f>'RAW SCORE'!D39</f>
        <v>0</v>
      </c>
      <c r="G50" s="51" t="str">
        <f t="shared" si="3"/>
        <v>0%</v>
      </c>
      <c r="I50" s="24">
        <f t="shared" si="4"/>
        <v>100</v>
      </c>
      <c r="J50" s="38">
        <f t="shared" si="5"/>
        <v>100</v>
      </c>
      <c r="K50" s="37">
        <f t="shared" ref="K50:K68" si="13">IF(F50&gt;2999,F50-3000,IF(F50&gt;1499,F50-1500,IF(F50&gt;799,F50-800,IF(F50&gt;399,F50-400,IF(F50&gt;99,F50-100,F50)))))</f>
        <v>0</v>
      </c>
      <c r="L50" s="39">
        <f t="shared" si="6"/>
        <v>0</v>
      </c>
      <c r="M50" s="15">
        <f t="shared" si="7"/>
        <v>0</v>
      </c>
      <c r="N50" s="33">
        <f t="shared" ref="N50:N68" si="14">IF(E50&gt;5,5000,IF(E50 &gt;4,3000,IF(E50&gt;3,1500,IF(E50&gt;2,800,IF(E50&gt;1,400,100)))))</f>
        <v>100</v>
      </c>
      <c r="O50" s="40" t="str">
        <f t="shared" si="8"/>
        <v xml:space="preserve"> </v>
      </c>
      <c r="P50" s="13" t="str">
        <f t="shared" si="9"/>
        <v xml:space="preserve"> </v>
      </c>
      <c r="Q50" s="40">
        <f t="shared" si="10"/>
        <v>0</v>
      </c>
      <c r="R50" s="13">
        <f t="shared" si="11"/>
        <v>1</v>
      </c>
    </row>
    <row r="51" spans="1:18" ht="27.75" customHeight="1" x14ac:dyDescent="0.35">
      <c r="A51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51" s="26"/>
      <c r="C51" s="30"/>
      <c r="D51" s="30"/>
      <c r="E51" s="42">
        <f t="shared" si="12"/>
        <v>1</v>
      </c>
      <c r="F51" s="32">
        <f>'RAW SCORE'!D40</f>
        <v>0</v>
      </c>
      <c r="G51" s="51" t="str">
        <f t="shared" si="3"/>
        <v>0%</v>
      </c>
      <c r="I51" s="24">
        <f t="shared" si="4"/>
        <v>100</v>
      </c>
      <c r="J51" s="38">
        <f t="shared" si="5"/>
        <v>100</v>
      </c>
      <c r="K51" s="37">
        <f t="shared" si="13"/>
        <v>0</v>
      </c>
      <c r="L51" s="39">
        <f t="shared" si="6"/>
        <v>0</v>
      </c>
      <c r="M51" s="15">
        <f t="shared" si="7"/>
        <v>0</v>
      </c>
      <c r="N51" s="33">
        <f t="shared" si="14"/>
        <v>100</v>
      </c>
      <c r="O51" s="40" t="str">
        <f t="shared" si="8"/>
        <v xml:space="preserve"> </v>
      </c>
      <c r="P51" s="13" t="str">
        <f t="shared" si="9"/>
        <v xml:space="preserve"> </v>
      </c>
      <c r="Q51" s="40">
        <f t="shared" si="10"/>
        <v>0</v>
      </c>
      <c r="R51" s="13">
        <f t="shared" si="11"/>
        <v>1</v>
      </c>
    </row>
    <row r="52" spans="1:18" ht="27.75" customHeight="1" x14ac:dyDescent="0.35">
      <c r="A52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52" s="26"/>
      <c r="C52" s="30"/>
      <c r="D52" s="30"/>
      <c r="E52" s="42">
        <f t="shared" si="12"/>
        <v>1</v>
      </c>
      <c r="F52" s="32">
        <f>'RAW SCORE'!D41</f>
        <v>0</v>
      </c>
      <c r="G52" s="51" t="str">
        <f t="shared" si="3"/>
        <v>0%</v>
      </c>
      <c r="I52" s="24">
        <f t="shared" si="4"/>
        <v>100</v>
      </c>
      <c r="J52" s="38">
        <f t="shared" si="5"/>
        <v>100</v>
      </c>
      <c r="K52" s="37">
        <f t="shared" si="13"/>
        <v>0</v>
      </c>
      <c r="L52" s="39">
        <f t="shared" si="6"/>
        <v>0</v>
      </c>
      <c r="M52" s="15">
        <f t="shared" si="7"/>
        <v>0</v>
      </c>
      <c r="N52" s="33">
        <f t="shared" si="14"/>
        <v>100</v>
      </c>
      <c r="O52" s="40" t="str">
        <f t="shared" si="8"/>
        <v xml:space="preserve"> </v>
      </c>
      <c r="P52" s="13" t="str">
        <f t="shared" si="9"/>
        <v xml:space="preserve"> </v>
      </c>
      <c r="Q52" s="40">
        <f t="shared" si="10"/>
        <v>0</v>
      </c>
      <c r="R52" s="13">
        <f t="shared" si="11"/>
        <v>1</v>
      </c>
    </row>
    <row r="53" spans="1:18" ht="27.75" customHeight="1" x14ac:dyDescent="0.35">
      <c r="A53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53" s="26"/>
      <c r="C53" s="30"/>
      <c r="D53" s="30"/>
      <c r="E53" s="42">
        <f t="shared" si="12"/>
        <v>1</v>
      </c>
      <c r="F53" s="32">
        <f>'RAW SCORE'!D42</f>
        <v>0</v>
      </c>
      <c r="G53" s="51" t="str">
        <f t="shared" si="3"/>
        <v>0%</v>
      </c>
      <c r="I53" s="24">
        <f t="shared" si="4"/>
        <v>100</v>
      </c>
      <c r="J53" s="38">
        <f t="shared" si="5"/>
        <v>100</v>
      </c>
      <c r="K53" s="37">
        <f t="shared" si="13"/>
        <v>0</v>
      </c>
      <c r="L53" s="39">
        <f t="shared" si="6"/>
        <v>0</v>
      </c>
      <c r="M53" s="15">
        <f t="shared" si="7"/>
        <v>0</v>
      </c>
      <c r="N53" s="33">
        <f t="shared" si="14"/>
        <v>100</v>
      </c>
      <c r="O53" s="40" t="str">
        <f t="shared" si="8"/>
        <v xml:space="preserve"> </v>
      </c>
      <c r="P53" s="13" t="str">
        <f t="shared" si="9"/>
        <v xml:space="preserve"> </v>
      </c>
      <c r="Q53" s="40">
        <f t="shared" si="10"/>
        <v>0</v>
      </c>
      <c r="R53" s="13">
        <f t="shared" si="11"/>
        <v>1</v>
      </c>
    </row>
    <row r="54" spans="1:18" ht="27.75" customHeight="1" x14ac:dyDescent="0.35">
      <c r="B54" s="26"/>
      <c r="C54" s="54" t="s">
        <v>28</v>
      </c>
      <c r="D54" s="46"/>
      <c r="E54" s="53">
        <f>IF(AVERAGE(E55,E56,E57,E58,E59,E60,E61,E62,E63)&gt;5,1000,IF(AVERAGE(E55,E56,E57,E58,E59,E60,E61,E62,E63)&gt;4,500,IF(AVERAGE(E55,E56,E57,E58,E59,E60,E61,E62,E63)&gt;3,300,IF(AVERAGE(E55,E56,E57,E58,E59,E60,E61,E62,E63)&gt;2,150,IF(AVERAGE(E55,E56,E57,E58,E59,E60,E61,E62,E63)=2,50,0)))))</f>
        <v>0</v>
      </c>
      <c r="F54" s="49">
        <f>'RAW SCORE'!D43</f>
        <v>0</v>
      </c>
      <c r="G54" s="51"/>
      <c r="I54" s="24"/>
      <c r="J54" s="38"/>
      <c r="K54" s="37"/>
      <c r="L54" s="39"/>
      <c r="M54" s="15"/>
      <c r="N54" s="33"/>
      <c r="O54" s="40"/>
      <c r="P54" s="13"/>
      <c r="Q54" s="40"/>
      <c r="R54" s="13"/>
    </row>
    <row r="55" spans="1:18" ht="27.75" customHeight="1" x14ac:dyDescent="0.35">
      <c r="A55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55" s="26"/>
      <c r="C55" s="30"/>
      <c r="D55" s="30"/>
      <c r="E55" s="42">
        <f t="shared" si="12"/>
        <v>1</v>
      </c>
      <c r="F55" s="32">
        <f>'RAW SCORE'!D44</f>
        <v>0</v>
      </c>
      <c r="G55" s="51" t="str">
        <f t="shared" si="3"/>
        <v>0%</v>
      </c>
      <c r="I55" s="24">
        <f t="shared" si="4"/>
        <v>100</v>
      </c>
      <c r="J55" s="38">
        <f t="shared" si="5"/>
        <v>100</v>
      </c>
      <c r="K55" s="37">
        <f t="shared" si="13"/>
        <v>0</v>
      </c>
      <c r="L55" s="39">
        <f t="shared" si="6"/>
        <v>0</v>
      </c>
      <c r="M55" s="15">
        <f t="shared" si="7"/>
        <v>0</v>
      </c>
      <c r="N55" s="33">
        <f t="shared" si="14"/>
        <v>100</v>
      </c>
      <c r="O55" s="40" t="str">
        <f t="shared" si="8"/>
        <v xml:space="preserve"> </v>
      </c>
      <c r="P55" s="13" t="str">
        <f t="shared" si="9"/>
        <v xml:space="preserve"> </v>
      </c>
      <c r="Q55" s="40">
        <f t="shared" si="10"/>
        <v>0</v>
      </c>
      <c r="R55" s="13">
        <f t="shared" si="11"/>
        <v>1</v>
      </c>
    </row>
    <row r="56" spans="1:18" ht="27.75" customHeight="1" x14ac:dyDescent="0.35">
      <c r="A56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56" s="26"/>
      <c r="C56" s="30"/>
      <c r="D56" s="30"/>
      <c r="E56" s="42">
        <f t="shared" si="12"/>
        <v>1</v>
      </c>
      <c r="F56" s="32">
        <f>'RAW SCORE'!D45</f>
        <v>0</v>
      </c>
      <c r="G56" s="51" t="str">
        <f t="shared" si="3"/>
        <v>0%</v>
      </c>
      <c r="I56" s="24">
        <f t="shared" si="4"/>
        <v>100</v>
      </c>
      <c r="J56" s="38">
        <f t="shared" si="5"/>
        <v>100</v>
      </c>
      <c r="K56" s="37">
        <f t="shared" si="13"/>
        <v>0</v>
      </c>
      <c r="L56" s="39">
        <f t="shared" si="6"/>
        <v>0</v>
      </c>
      <c r="M56" s="15">
        <f t="shared" si="7"/>
        <v>0</v>
      </c>
      <c r="N56" s="33">
        <f t="shared" si="14"/>
        <v>100</v>
      </c>
      <c r="O56" s="40" t="str">
        <f t="shared" si="8"/>
        <v xml:space="preserve"> </v>
      </c>
      <c r="P56" s="13" t="str">
        <f t="shared" si="9"/>
        <v xml:space="preserve"> </v>
      </c>
      <c r="Q56" s="40">
        <f t="shared" si="10"/>
        <v>0</v>
      </c>
      <c r="R56" s="13">
        <f t="shared" si="11"/>
        <v>1</v>
      </c>
    </row>
    <row r="57" spans="1:18" ht="27.75" customHeight="1" x14ac:dyDescent="0.35">
      <c r="A57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57" s="26"/>
      <c r="C57" s="30"/>
      <c r="D57" s="30"/>
      <c r="E57" s="42">
        <f t="shared" si="12"/>
        <v>1</v>
      </c>
      <c r="F57" s="32">
        <f>'RAW SCORE'!D46</f>
        <v>0</v>
      </c>
      <c r="G57" s="51" t="str">
        <f t="shared" si="3"/>
        <v>0%</v>
      </c>
      <c r="I57" s="24">
        <f t="shared" si="4"/>
        <v>100</v>
      </c>
      <c r="J57" s="38">
        <f t="shared" si="5"/>
        <v>100</v>
      </c>
      <c r="K57" s="37">
        <f t="shared" si="13"/>
        <v>0</v>
      </c>
      <c r="L57" s="39">
        <f t="shared" si="6"/>
        <v>0</v>
      </c>
      <c r="M57" s="15">
        <f t="shared" si="7"/>
        <v>0</v>
      </c>
      <c r="N57" s="33">
        <f t="shared" si="14"/>
        <v>100</v>
      </c>
      <c r="O57" s="40" t="str">
        <f t="shared" si="8"/>
        <v xml:space="preserve"> </v>
      </c>
      <c r="P57" s="13" t="str">
        <f t="shared" si="9"/>
        <v xml:space="preserve"> </v>
      </c>
      <c r="Q57" s="40">
        <f t="shared" si="10"/>
        <v>0</v>
      </c>
      <c r="R57" s="13">
        <f t="shared" si="11"/>
        <v>1</v>
      </c>
    </row>
    <row r="58" spans="1:18" ht="27.75" customHeight="1" x14ac:dyDescent="0.35">
      <c r="A58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58" s="26"/>
      <c r="C58" s="30"/>
      <c r="D58" s="30"/>
      <c r="E58" s="42">
        <f t="shared" si="12"/>
        <v>1</v>
      </c>
      <c r="F58" s="32">
        <f>'RAW SCORE'!D47</f>
        <v>0</v>
      </c>
      <c r="G58" s="51" t="str">
        <f t="shared" si="3"/>
        <v>0%</v>
      </c>
      <c r="I58" s="24">
        <f t="shared" si="4"/>
        <v>100</v>
      </c>
      <c r="J58" s="38">
        <f t="shared" si="5"/>
        <v>100</v>
      </c>
      <c r="K58" s="37">
        <f t="shared" si="13"/>
        <v>0</v>
      </c>
      <c r="L58" s="39">
        <f t="shared" si="6"/>
        <v>0</v>
      </c>
      <c r="M58" s="15">
        <f t="shared" si="7"/>
        <v>0</v>
      </c>
      <c r="N58" s="33">
        <f t="shared" si="14"/>
        <v>100</v>
      </c>
      <c r="O58" s="40" t="str">
        <f t="shared" si="8"/>
        <v xml:space="preserve"> </v>
      </c>
      <c r="P58" s="13" t="str">
        <f t="shared" si="9"/>
        <v xml:space="preserve"> </v>
      </c>
      <c r="Q58" s="40">
        <f t="shared" si="10"/>
        <v>0</v>
      </c>
      <c r="R58" s="13">
        <f t="shared" si="11"/>
        <v>1</v>
      </c>
    </row>
    <row r="59" spans="1:18" ht="27.75" customHeight="1" x14ac:dyDescent="0.35">
      <c r="A59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59" s="26"/>
      <c r="C59" s="30"/>
      <c r="D59" s="30"/>
      <c r="E59" s="42">
        <f t="shared" si="12"/>
        <v>1</v>
      </c>
      <c r="F59" s="32">
        <f>'RAW SCORE'!D48</f>
        <v>0</v>
      </c>
      <c r="G59" s="51" t="str">
        <f t="shared" si="3"/>
        <v>0%</v>
      </c>
      <c r="I59" s="24">
        <f t="shared" si="4"/>
        <v>100</v>
      </c>
      <c r="J59" s="38">
        <f t="shared" si="5"/>
        <v>100</v>
      </c>
      <c r="K59" s="37">
        <f t="shared" si="13"/>
        <v>0</v>
      </c>
      <c r="L59" s="39">
        <f t="shared" si="6"/>
        <v>0</v>
      </c>
      <c r="M59" s="15">
        <f t="shared" si="7"/>
        <v>0</v>
      </c>
      <c r="N59" s="33">
        <f t="shared" si="14"/>
        <v>100</v>
      </c>
      <c r="O59" s="40" t="str">
        <f t="shared" si="8"/>
        <v xml:space="preserve"> </v>
      </c>
      <c r="P59" s="13" t="str">
        <f t="shared" si="9"/>
        <v xml:space="preserve"> </v>
      </c>
      <c r="Q59" s="40">
        <f t="shared" si="10"/>
        <v>0</v>
      </c>
      <c r="R59" s="13">
        <f t="shared" si="11"/>
        <v>1</v>
      </c>
    </row>
    <row r="60" spans="1:18" ht="28.5" customHeight="1" x14ac:dyDescent="0.35">
      <c r="A60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60" s="26"/>
      <c r="C60" s="30"/>
      <c r="D60" s="30"/>
      <c r="E60" s="42">
        <f t="shared" si="12"/>
        <v>1</v>
      </c>
      <c r="F60" s="32">
        <f>'RAW SCORE'!D49</f>
        <v>0</v>
      </c>
      <c r="G60" s="51" t="str">
        <f t="shared" si="3"/>
        <v>0%</v>
      </c>
      <c r="I60" s="24">
        <f t="shared" si="4"/>
        <v>100</v>
      </c>
      <c r="J60" s="38">
        <f t="shared" si="5"/>
        <v>100</v>
      </c>
      <c r="K60" s="37">
        <f t="shared" si="13"/>
        <v>0</v>
      </c>
      <c r="L60" s="39">
        <f t="shared" si="6"/>
        <v>0</v>
      </c>
      <c r="M60" s="15">
        <f t="shared" si="7"/>
        <v>0</v>
      </c>
      <c r="N60" s="33">
        <f t="shared" si="14"/>
        <v>100</v>
      </c>
      <c r="O60" s="40" t="str">
        <f t="shared" si="8"/>
        <v xml:space="preserve"> </v>
      </c>
      <c r="P60" s="13" t="str">
        <f t="shared" si="9"/>
        <v xml:space="preserve"> </v>
      </c>
      <c r="Q60" s="40">
        <f t="shared" si="10"/>
        <v>0</v>
      </c>
      <c r="R60" s="13">
        <f t="shared" si="11"/>
        <v>1</v>
      </c>
    </row>
    <row r="61" spans="1:18" ht="27.75" customHeight="1" x14ac:dyDescent="0.35">
      <c r="A61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61" s="26"/>
      <c r="C61" s="30"/>
      <c r="D61" s="30"/>
      <c r="E61" s="42">
        <f t="shared" si="12"/>
        <v>1</v>
      </c>
      <c r="F61" s="32">
        <f>'RAW SCORE'!D50</f>
        <v>0</v>
      </c>
      <c r="G61" s="51" t="str">
        <f t="shared" si="3"/>
        <v>0%</v>
      </c>
      <c r="I61" s="24">
        <f t="shared" si="4"/>
        <v>100</v>
      </c>
      <c r="J61" s="38">
        <f t="shared" si="5"/>
        <v>100</v>
      </c>
      <c r="K61" s="37">
        <f t="shared" si="13"/>
        <v>0</v>
      </c>
      <c r="L61" s="39">
        <f t="shared" si="6"/>
        <v>0</v>
      </c>
      <c r="M61" s="15">
        <f t="shared" si="7"/>
        <v>0</v>
      </c>
      <c r="N61" s="33">
        <f t="shared" si="14"/>
        <v>100</v>
      </c>
      <c r="O61" s="40" t="str">
        <f t="shared" si="8"/>
        <v xml:space="preserve"> </v>
      </c>
      <c r="P61" s="13" t="str">
        <f t="shared" si="9"/>
        <v xml:space="preserve"> </v>
      </c>
      <c r="Q61" s="40">
        <f t="shared" si="10"/>
        <v>0</v>
      </c>
      <c r="R61" s="13">
        <f t="shared" si="11"/>
        <v>1</v>
      </c>
    </row>
    <row r="62" spans="1:18" ht="27.75" customHeight="1" x14ac:dyDescent="0.35">
      <c r="A62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62" s="26"/>
      <c r="C62" s="30"/>
      <c r="D62" s="30"/>
      <c r="E62" s="42">
        <f t="shared" si="12"/>
        <v>1</v>
      </c>
      <c r="F62" s="32">
        <f>'RAW SCORE'!D51</f>
        <v>0</v>
      </c>
      <c r="G62" s="51" t="str">
        <f t="shared" si="3"/>
        <v>0%</v>
      </c>
      <c r="I62" s="24">
        <f t="shared" si="4"/>
        <v>100</v>
      </c>
      <c r="J62" s="38">
        <f t="shared" si="5"/>
        <v>100</v>
      </c>
      <c r="K62" s="37">
        <f t="shared" si="13"/>
        <v>0</v>
      </c>
      <c r="L62" s="39">
        <f t="shared" si="6"/>
        <v>0</v>
      </c>
      <c r="M62" s="15">
        <f t="shared" si="7"/>
        <v>0</v>
      </c>
      <c r="N62" s="33">
        <f t="shared" si="14"/>
        <v>100</v>
      </c>
      <c r="O62" s="40" t="str">
        <f t="shared" si="8"/>
        <v xml:space="preserve"> </v>
      </c>
      <c r="P62" s="13" t="str">
        <f t="shared" si="9"/>
        <v xml:space="preserve"> </v>
      </c>
      <c r="Q62" s="40">
        <f t="shared" si="10"/>
        <v>0</v>
      </c>
      <c r="R62" s="13">
        <f t="shared" si="11"/>
        <v>1</v>
      </c>
    </row>
    <row r="63" spans="1:18" ht="27.75" customHeight="1" x14ac:dyDescent="0.35">
      <c r="A63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63" s="26"/>
      <c r="C63" s="30"/>
      <c r="D63" s="30"/>
      <c r="E63" s="42">
        <f t="shared" si="12"/>
        <v>1</v>
      </c>
      <c r="F63" s="32">
        <f>'RAW SCORE'!D52</f>
        <v>0</v>
      </c>
      <c r="G63" s="51" t="str">
        <f t="shared" si="3"/>
        <v>0%</v>
      </c>
      <c r="I63" s="24">
        <f t="shared" si="4"/>
        <v>100</v>
      </c>
      <c r="J63" s="38">
        <f t="shared" si="5"/>
        <v>100</v>
      </c>
      <c r="K63" s="37">
        <f t="shared" si="13"/>
        <v>0</v>
      </c>
      <c r="L63" s="39">
        <f t="shared" si="6"/>
        <v>0</v>
      </c>
      <c r="M63" s="15">
        <f t="shared" si="7"/>
        <v>0</v>
      </c>
      <c r="N63" s="33">
        <f t="shared" si="14"/>
        <v>100</v>
      </c>
      <c r="O63" s="40" t="str">
        <f t="shared" si="8"/>
        <v xml:space="preserve"> </v>
      </c>
      <c r="P63" s="13" t="str">
        <f t="shared" si="9"/>
        <v xml:space="preserve"> </v>
      </c>
      <c r="Q63" s="40">
        <f t="shared" si="10"/>
        <v>0</v>
      </c>
      <c r="R63" s="13">
        <f t="shared" si="11"/>
        <v>1</v>
      </c>
    </row>
    <row r="64" spans="1:18" ht="27.75" customHeight="1" x14ac:dyDescent="0.35">
      <c r="B64" s="26"/>
      <c r="C64" s="54" t="s">
        <v>29</v>
      </c>
      <c r="D64" s="46"/>
      <c r="E64" s="53">
        <f>IF(AVERAGE(E65,E66,E67,E68,E69,E70,E71,E72,E73)&gt;5,1000,IF(AVERAGE(E65,E66,E67,E68,E69,E70,E71,E72,E73)&gt;4,500,IF(AVERAGE(E65,E66,E67,E68,E69,E70,E71,E72,E73)&gt;3,300,IF(AVERAGE(E65,E66,E67,E68,E69,E70,E71,E72,E73)&gt;2,150,IF(AVERAGE(E65,E66,E67,E68,E69,E70,E71,E72,E73)=2,50,0)))))</f>
        <v>0</v>
      </c>
      <c r="F64" s="49">
        <f>'RAW SCORE'!D53</f>
        <v>0</v>
      </c>
      <c r="G64" s="51"/>
      <c r="I64" s="24"/>
      <c r="J64" s="38"/>
      <c r="K64" s="37"/>
      <c r="L64" s="39"/>
      <c r="M64" s="15"/>
      <c r="N64" s="33"/>
      <c r="O64" s="40"/>
      <c r="P64" s="13"/>
      <c r="Q64" s="40"/>
      <c r="R64" s="13"/>
    </row>
    <row r="65" spans="1:18" ht="27.75" customHeight="1" x14ac:dyDescent="0.35">
      <c r="A65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65" s="26"/>
      <c r="C65" s="30"/>
      <c r="D65" s="30"/>
      <c r="E65" s="42">
        <f t="shared" si="12"/>
        <v>1</v>
      </c>
      <c r="F65" s="32">
        <f>'RAW SCORE'!D54</f>
        <v>0</v>
      </c>
      <c r="G65" s="51" t="str">
        <f t="shared" si="3"/>
        <v>0%</v>
      </c>
      <c r="I65" s="24">
        <f t="shared" si="4"/>
        <v>100</v>
      </c>
      <c r="J65" s="38">
        <f t="shared" si="5"/>
        <v>100</v>
      </c>
      <c r="K65" s="37">
        <f t="shared" si="13"/>
        <v>0</v>
      </c>
      <c r="L65" s="39">
        <f t="shared" si="6"/>
        <v>0</v>
      </c>
      <c r="M65" s="15">
        <f t="shared" si="7"/>
        <v>0</v>
      </c>
      <c r="N65" s="33">
        <f t="shared" si="14"/>
        <v>100</v>
      </c>
      <c r="O65" s="40" t="str">
        <f t="shared" si="8"/>
        <v xml:space="preserve"> </v>
      </c>
      <c r="P65" s="13" t="str">
        <f t="shared" si="9"/>
        <v xml:space="preserve"> </v>
      </c>
      <c r="Q65" s="40">
        <f t="shared" si="10"/>
        <v>0</v>
      </c>
      <c r="R65" s="13">
        <f t="shared" si="11"/>
        <v>1</v>
      </c>
    </row>
    <row r="66" spans="1:18" ht="27.75" customHeight="1" x14ac:dyDescent="0.35">
      <c r="A66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66" s="26"/>
      <c r="C66" s="30"/>
      <c r="D66" s="30"/>
      <c r="E66" s="42">
        <f t="shared" si="12"/>
        <v>1</v>
      </c>
      <c r="F66" s="32">
        <f>'RAW SCORE'!D55</f>
        <v>0</v>
      </c>
      <c r="G66" s="51" t="str">
        <f t="shared" si="3"/>
        <v>0%</v>
      </c>
      <c r="I66" s="24">
        <f t="shared" si="4"/>
        <v>100</v>
      </c>
      <c r="J66" s="38">
        <f t="shared" si="5"/>
        <v>100</v>
      </c>
      <c r="K66" s="37">
        <f t="shared" si="13"/>
        <v>0</v>
      </c>
      <c r="L66" s="39">
        <f t="shared" si="6"/>
        <v>0</v>
      </c>
      <c r="M66" s="15">
        <f t="shared" si="7"/>
        <v>0</v>
      </c>
      <c r="N66" s="33">
        <f t="shared" si="14"/>
        <v>100</v>
      </c>
      <c r="O66" s="40" t="str">
        <f t="shared" si="8"/>
        <v xml:space="preserve"> </v>
      </c>
      <c r="P66" s="13" t="str">
        <f t="shared" si="9"/>
        <v xml:space="preserve"> </v>
      </c>
      <c r="Q66" s="40">
        <f t="shared" si="10"/>
        <v>0</v>
      </c>
      <c r="R66" s="13">
        <f t="shared" si="11"/>
        <v>1</v>
      </c>
    </row>
    <row r="67" spans="1:18" ht="27.75" customHeight="1" x14ac:dyDescent="0.35">
      <c r="A67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67" s="26"/>
      <c r="C67" s="30"/>
      <c r="D67" s="30"/>
      <c r="E67" s="42">
        <f t="shared" si="12"/>
        <v>1</v>
      </c>
      <c r="F67" s="32">
        <f>'RAW SCORE'!D56</f>
        <v>0</v>
      </c>
      <c r="G67" s="51" t="str">
        <f t="shared" si="3"/>
        <v>0%</v>
      </c>
      <c r="I67" s="24">
        <f t="shared" si="4"/>
        <v>100</v>
      </c>
      <c r="J67" s="38">
        <f t="shared" si="5"/>
        <v>100</v>
      </c>
      <c r="K67" s="37">
        <f t="shared" si="13"/>
        <v>0</v>
      </c>
      <c r="L67" s="39">
        <f t="shared" si="6"/>
        <v>0</v>
      </c>
      <c r="M67" s="15">
        <f t="shared" si="7"/>
        <v>0</v>
      </c>
      <c r="N67" s="33">
        <f t="shared" si="14"/>
        <v>100</v>
      </c>
      <c r="O67" s="40" t="str">
        <f t="shared" si="8"/>
        <v xml:space="preserve"> </v>
      </c>
      <c r="P67" s="13" t="str">
        <f t="shared" si="9"/>
        <v xml:space="preserve"> </v>
      </c>
      <c r="Q67" s="40">
        <f t="shared" si="10"/>
        <v>0</v>
      </c>
      <c r="R67" s="13">
        <f t="shared" si="11"/>
        <v>1</v>
      </c>
    </row>
    <row r="68" spans="1:18" ht="27.75" customHeight="1" x14ac:dyDescent="0.35">
      <c r="A68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68" s="26"/>
      <c r="C68" s="30"/>
      <c r="D68" s="30"/>
      <c r="E68" s="42">
        <f t="shared" si="12"/>
        <v>1</v>
      </c>
      <c r="F68" s="32">
        <f>'RAW SCORE'!D57</f>
        <v>0</v>
      </c>
      <c r="G68" s="51" t="str">
        <f t="shared" si="3"/>
        <v>0%</v>
      </c>
      <c r="I68" s="24">
        <f t="shared" si="4"/>
        <v>100</v>
      </c>
      <c r="J68" s="38">
        <f t="shared" si="5"/>
        <v>100</v>
      </c>
      <c r="K68" s="37">
        <f t="shared" si="13"/>
        <v>0</v>
      </c>
      <c r="L68" s="39">
        <f t="shared" si="6"/>
        <v>0</v>
      </c>
      <c r="M68" s="15">
        <f t="shared" si="7"/>
        <v>0</v>
      </c>
      <c r="N68" s="33">
        <f t="shared" si="14"/>
        <v>100</v>
      </c>
      <c r="O68" s="40" t="str">
        <f t="shared" si="8"/>
        <v xml:space="preserve"> </v>
      </c>
      <c r="P68" s="13" t="str">
        <f t="shared" si="9"/>
        <v xml:space="preserve"> </v>
      </c>
      <c r="Q68" s="40">
        <f t="shared" si="10"/>
        <v>0</v>
      </c>
      <c r="R68" s="13">
        <f t="shared" si="11"/>
        <v>1</v>
      </c>
    </row>
    <row r="69" spans="1:18" ht="27.75" customHeight="1" x14ac:dyDescent="0.35">
      <c r="A69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69" s="26"/>
      <c r="C69" s="30"/>
      <c r="D69" s="30"/>
      <c r="E69" s="42">
        <f t="shared" si="12"/>
        <v>1</v>
      </c>
      <c r="F69" s="32">
        <f>'RAW SCORE'!D58</f>
        <v>0</v>
      </c>
      <c r="G69" s="51" t="str">
        <f t="shared" si="3"/>
        <v>0%</v>
      </c>
      <c r="I69" s="24">
        <f t="shared" si="4"/>
        <v>100</v>
      </c>
      <c r="J69" s="38">
        <f t="shared" si="5"/>
        <v>100</v>
      </c>
      <c r="K69" s="37">
        <f>IF(F69&gt;2999,F69-3000,IF(F69&gt;1499,F69-1500,IF(F69&gt;799,F69-800,IF(F69&gt;399,F69-400,IF(F69&gt;99,F69-100,F69)))))</f>
        <v>0</v>
      </c>
      <c r="L69" s="39">
        <f t="shared" si="6"/>
        <v>0</v>
      </c>
      <c r="M69" s="15">
        <f t="shared" si="7"/>
        <v>0</v>
      </c>
      <c r="N69" s="33">
        <f>IF(E97&gt;5,5000,IF(E97 &gt;4,3000,IF(E97&gt;3,1500,IF(E97&gt;2,800,IF(E97&gt;1,400,100)))))</f>
        <v>100</v>
      </c>
      <c r="O69" s="40" t="str">
        <f t="shared" si="8"/>
        <v xml:space="preserve"> </v>
      </c>
      <c r="P69" s="13" t="str">
        <f t="shared" si="9"/>
        <v xml:space="preserve"> </v>
      </c>
      <c r="Q69" s="40">
        <f t="shared" si="10"/>
        <v>0</v>
      </c>
      <c r="R69" s="13">
        <f t="shared" si="11"/>
        <v>1</v>
      </c>
    </row>
    <row r="70" spans="1:18" ht="27.75" customHeight="1" x14ac:dyDescent="0.35">
      <c r="A70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70" s="26"/>
      <c r="C70" s="30"/>
      <c r="D70" s="30"/>
      <c r="E70" s="42">
        <f t="shared" si="12"/>
        <v>1</v>
      </c>
      <c r="F70" s="32">
        <f>'RAW SCORE'!D59</f>
        <v>0</v>
      </c>
      <c r="G70" s="51" t="str">
        <f t="shared" si="3"/>
        <v>0%</v>
      </c>
      <c r="I70" s="24">
        <f>IF(J70&gt;2999,J70-1500,IF(J70&gt;1499,J70-800,IF(J70&gt;799,J70-400,IF(J70&gt;399,J70-100,100))))</f>
        <v>100</v>
      </c>
      <c r="J70" s="38">
        <f>N70</f>
        <v>100</v>
      </c>
      <c r="K70" s="37">
        <f t="shared" ref="K70:K84" si="15">IF(F70&gt;2999,F70-3000,IF(F70&gt;1499,F70-1500,IF(F70&gt;799,F70-800,IF(F70&gt;399,F70-400,IF(F70&gt;99,F70-100,F70)))))</f>
        <v>0</v>
      </c>
      <c r="L70" s="39">
        <f>(K70/I70)*100</f>
        <v>0</v>
      </c>
      <c r="M70" s="15">
        <f>(K70/I70)*1</f>
        <v>0</v>
      </c>
      <c r="N70" s="33">
        <f>IF(E98&gt;5,5000,IF(E98 &gt;4,3000,IF(E98&gt;3,1500,IF(E98&gt;2,800,IF(E98&gt;1,400,100)))))</f>
        <v>100</v>
      </c>
      <c r="O70" s="40" t="str">
        <f>IF(M70&gt;=$P$10,M70," ")</f>
        <v xml:space="preserve"> </v>
      </c>
      <c r="P70" s="13" t="str">
        <f>IF(AND(M70&lt;$P$10,M70&gt;=$P$11),M70," ")</f>
        <v xml:space="preserve"> </v>
      </c>
      <c r="Q70" s="40">
        <f>IF(M70&lt;$P$11,M70," ")</f>
        <v>0</v>
      </c>
      <c r="R70" s="13">
        <f>MAX(1,M70)-M70</f>
        <v>1</v>
      </c>
    </row>
    <row r="71" spans="1:18" ht="27.75" customHeight="1" x14ac:dyDescent="0.35">
      <c r="A71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71" s="26"/>
      <c r="C71" s="30"/>
      <c r="D71" s="30"/>
      <c r="E71" s="42">
        <f t="shared" si="12"/>
        <v>1</v>
      </c>
      <c r="F71" s="47">
        <f>'RAW SCORE'!D60</f>
        <v>0</v>
      </c>
      <c r="G71" s="51" t="str">
        <f t="shared" si="3"/>
        <v>0%</v>
      </c>
      <c r="H71" s="5"/>
      <c r="I71" s="24">
        <f>IF(J71&gt;2999,J71-1500,IF(J71&gt;1499,J71-800,IF(J71&gt;799,J71-400,IF(J71&gt;399,J71-100,100))))</f>
        <v>100</v>
      </c>
      <c r="J71" s="38">
        <f>N71</f>
        <v>100</v>
      </c>
      <c r="K71" s="37">
        <f t="shared" si="15"/>
        <v>0</v>
      </c>
      <c r="L71" s="39">
        <f>(K71/I71)*100</f>
        <v>0</v>
      </c>
      <c r="M71" s="15">
        <f>(K71/I71)*1</f>
        <v>0</v>
      </c>
      <c r="N71" s="33">
        <f t="shared" ref="N71:N84" si="16">IF(E99&gt;5,5000,IF(E99 &gt;4,3000,IF(E99&gt;3,1500,IF(E99&gt;2,800,IF(E99&gt;1,400,100)))))</f>
        <v>100</v>
      </c>
      <c r="O71" s="40" t="str">
        <f>IF(M71&gt;=$P$10,M71," ")</f>
        <v xml:space="preserve"> </v>
      </c>
      <c r="P71" s="13" t="str">
        <f>IF(AND(M71&lt;$P$10,M71&gt;=$P$11),M71," ")</f>
        <v xml:space="preserve"> </v>
      </c>
      <c r="Q71" s="40">
        <f>IF(M71&lt;$P$11,M71," ")</f>
        <v>0</v>
      </c>
      <c r="R71" s="13">
        <f>MAX(1,M71)-M71</f>
        <v>1</v>
      </c>
    </row>
    <row r="72" spans="1:18" ht="27.75" customHeight="1" x14ac:dyDescent="0.35">
      <c r="A72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72" s="26"/>
      <c r="C72" s="30"/>
      <c r="D72" s="30"/>
      <c r="E72" s="42">
        <f t="shared" si="12"/>
        <v>1</v>
      </c>
      <c r="F72" s="47">
        <f>'RAW SCORE'!D61</f>
        <v>0</v>
      </c>
      <c r="G72" s="51" t="str">
        <f t="shared" si="3"/>
        <v>0%</v>
      </c>
      <c r="H72" s="5"/>
      <c r="I72" s="24">
        <f t="shared" ref="I72:I84" si="17">IF(J72&gt;2999,J72-1500,IF(J72&gt;1499,J72-800,IF(J72&gt;799,J72-400,IF(J72&gt;399,J72-100,100))))</f>
        <v>100</v>
      </c>
      <c r="J72" s="38">
        <f t="shared" ref="J72:J84" si="18">N72</f>
        <v>100</v>
      </c>
      <c r="K72" s="37">
        <f t="shared" si="15"/>
        <v>0</v>
      </c>
      <c r="L72" s="39">
        <f t="shared" ref="L72:L84" si="19">(K72/I72)*100</f>
        <v>0</v>
      </c>
      <c r="M72" s="15">
        <f t="shared" ref="M72:M84" si="20">(K72/I72)*1</f>
        <v>0</v>
      </c>
      <c r="N72" s="33">
        <f t="shared" si="16"/>
        <v>100</v>
      </c>
      <c r="O72" s="40" t="str">
        <f t="shared" ref="O72:O84" si="21">IF(M72&gt;=$P$10,M72," ")</f>
        <v xml:space="preserve"> </v>
      </c>
      <c r="P72" s="13" t="str">
        <f t="shared" ref="P72:P84" si="22">IF(AND(M72&lt;$P$10,M72&gt;=$P$11),M72," ")</f>
        <v xml:space="preserve"> </v>
      </c>
      <c r="Q72" s="40">
        <f t="shared" ref="Q72:Q84" si="23">IF(M72&lt;$P$11,M72," ")</f>
        <v>0</v>
      </c>
      <c r="R72" s="13">
        <f t="shared" ref="R72:R84" si="24">MAX(1,M72)-M72</f>
        <v>1</v>
      </c>
    </row>
    <row r="73" spans="1:18" ht="27.75" customHeight="1" x14ac:dyDescent="0.35">
      <c r="A73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73" s="26"/>
      <c r="C73" s="30"/>
      <c r="D73" s="30"/>
      <c r="E73" s="42">
        <f t="shared" si="12"/>
        <v>1</v>
      </c>
      <c r="F73" s="47">
        <f>'RAW SCORE'!D62</f>
        <v>0</v>
      </c>
      <c r="G73" s="51" t="str">
        <f t="shared" si="3"/>
        <v>0%</v>
      </c>
      <c r="H73" s="5"/>
      <c r="I73" s="24">
        <f t="shared" si="17"/>
        <v>100</v>
      </c>
      <c r="J73" s="38">
        <f t="shared" si="18"/>
        <v>100</v>
      </c>
      <c r="K73" s="37">
        <f t="shared" si="15"/>
        <v>0</v>
      </c>
      <c r="L73" s="39">
        <f t="shared" si="19"/>
        <v>0</v>
      </c>
      <c r="M73" s="15">
        <f t="shared" si="20"/>
        <v>0</v>
      </c>
      <c r="N73" s="33">
        <f t="shared" si="16"/>
        <v>100</v>
      </c>
      <c r="O73" s="40" t="str">
        <f t="shared" si="21"/>
        <v xml:space="preserve"> </v>
      </c>
      <c r="P73" s="13" t="str">
        <f t="shared" si="22"/>
        <v xml:space="preserve"> </v>
      </c>
      <c r="Q73" s="40">
        <f t="shared" si="23"/>
        <v>0</v>
      </c>
      <c r="R73" s="13">
        <f t="shared" si="24"/>
        <v>1</v>
      </c>
    </row>
    <row r="74" spans="1:18" ht="27.75" customHeight="1" x14ac:dyDescent="0.35">
      <c r="A74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74" s="26"/>
      <c r="C74" s="55" t="s">
        <v>30</v>
      </c>
      <c r="D74" s="46"/>
      <c r="E74" s="53">
        <f>IF(AVERAGE(E75,E76,E77,E78,E79,E80,E81,E82,E83)&gt;5,1000,IF(AVERAGE(E75,E76,E77,E78,E79,E80,E81,E82,E83)&gt;4,500,IF(AVERAGE(E75,E76,E77,E78,E79,E80,E81,E82,E83)&gt;3,300,IF(AVERAGE(E75,E76,E77,E78,E79,E80,E81,E82,E83)&gt;2,150,IF(AVERAGE(E75,E76,E77,E78,E79,E80,E81,E82,E83)=2,50,0)))))</f>
        <v>0</v>
      </c>
      <c r="F74" s="50">
        <f>'RAW SCORE'!D63</f>
        <v>0</v>
      </c>
      <c r="G74" s="51"/>
      <c r="H74" s="5"/>
      <c r="I74" s="24">
        <f t="shared" si="17"/>
        <v>100</v>
      </c>
      <c r="J74" s="38">
        <f t="shared" si="18"/>
        <v>100</v>
      </c>
      <c r="K74" s="37">
        <f t="shared" si="15"/>
        <v>0</v>
      </c>
      <c r="L74" s="39">
        <f t="shared" si="19"/>
        <v>0</v>
      </c>
      <c r="M74" s="15">
        <f t="shared" si="20"/>
        <v>0</v>
      </c>
      <c r="N74" s="33">
        <f t="shared" si="16"/>
        <v>100</v>
      </c>
      <c r="O74" s="40" t="str">
        <f t="shared" si="21"/>
        <v xml:space="preserve"> </v>
      </c>
      <c r="P74" s="13" t="str">
        <f t="shared" si="22"/>
        <v xml:space="preserve"> </v>
      </c>
      <c r="Q74" s="40">
        <f t="shared" si="23"/>
        <v>0</v>
      </c>
      <c r="R74" s="13">
        <f t="shared" si="24"/>
        <v>1</v>
      </c>
    </row>
    <row r="75" spans="1:18" ht="27.75" customHeight="1" x14ac:dyDescent="0.35">
      <c r="A75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75" s="26"/>
      <c r="C75" s="30"/>
      <c r="D75" s="30"/>
      <c r="E75" s="42">
        <f t="shared" si="12"/>
        <v>1</v>
      </c>
      <c r="F75" s="32">
        <f>'RAW SCORE'!D64</f>
        <v>0</v>
      </c>
      <c r="G75" s="51" t="str">
        <f t="shared" si="3"/>
        <v>0%</v>
      </c>
      <c r="H75" s="5"/>
      <c r="I75" s="24">
        <f t="shared" si="17"/>
        <v>100</v>
      </c>
      <c r="J75" s="38">
        <f t="shared" si="18"/>
        <v>100</v>
      </c>
      <c r="K75" s="37">
        <f t="shared" si="15"/>
        <v>0</v>
      </c>
      <c r="L75" s="39">
        <f t="shared" si="19"/>
        <v>0</v>
      </c>
      <c r="M75" s="15">
        <f t="shared" si="20"/>
        <v>0</v>
      </c>
      <c r="N75" s="33">
        <f t="shared" si="16"/>
        <v>100</v>
      </c>
      <c r="O75" s="40" t="str">
        <f t="shared" si="21"/>
        <v xml:space="preserve"> </v>
      </c>
      <c r="P75" s="13" t="str">
        <f t="shared" si="22"/>
        <v xml:space="preserve"> </v>
      </c>
      <c r="Q75" s="40">
        <f t="shared" si="23"/>
        <v>0</v>
      </c>
      <c r="R75" s="13">
        <f t="shared" si="24"/>
        <v>1</v>
      </c>
    </row>
    <row r="76" spans="1:18" ht="27.75" customHeight="1" x14ac:dyDescent="0.35">
      <c r="A76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76" s="26"/>
      <c r="C76" s="30"/>
      <c r="D76" s="30"/>
      <c r="E76" s="42">
        <f t="shared" si="12"/>
        <v>1</v>
      </c>
      <c r="F76" s="32">
        <f>'RAW SCORE'!D65</f>
        <v>0</v>
      </c>
      <c r="G76" s="51" t="str">
        <f t="shared" si="3"/>
        <v>0%</v>
      </c>
      <c r="H76" s="5"/>
      <c r="I76" s="24">
        <f t="shared" si="17"/>
        <v>100</v>
      </c>
      <c r="J76" s="38">
        <f t="shared" si="18"/>
        <v>100</v>
      </c>
      <c r="K76" s="37">
        <f t="shared" si="15"/>
        <v>0</v>
      </c>
      <c r="L76" s="39">
        <f t="shared" si="19"/>
        <v>0</v>
      </c>
      <c r="M76" s="15">
        <f t="shared" si="20"/>
        <v>0</v>
      </c>
      <c r="N76" s="33">
        <f t="shared" si="16"/>
        <v>100</v>
      </c>
      <c r="O76" s="40" t="str">
        <f t="shared" si="21"/>
        <v xml:space="preserve"> </v>
      </c>
      <c r="P76" s="13" t="str">
        <f t="shared" si="22"/>
        <v xml:space="preserve"> </v>
      </c>
      <c r="Q76" s="40">
        <f t="shared" si="23"/>
        <v>0</v>
      </c>
      <c r="R76" s="13">
        <f t="shared" si="24"/>
        <v>1</v>
      </c>
    </row>
    <row r="77" spans="1:18" ht="27.75" customHeight="1" x14ac:dyDescent="0.35">
      <c r="A77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77" s="26"/>
      <c r="C77" s="30"/>
      <c r="D77" s="30"/>
      <c r="E77" s="42">
        <f t="shared" si="12"/>
        <v>1</v>
      </c>
      <c r="F77" s="32">
        <f>'RAW SCORE'!D66</f>
        <v>0</v>
      </c>
      <c r="G77" s="51" t="str">
        <f t="shared" si="3"/>
        <v>0%</v>
      </c>
      <c r="H77" s="5"/>
      <c r="I77" s="24">
        <f t="shared" si="17"/>
        <v>100</v>
      </c>
      <c r="J77" s="38">
        <f t="shared" si="18"/>
        <v>100</v>
      </c>
      <c r="K77" s="37">
        <f t="shared" si="15"/>
        <v>0</v>
      </c>
      <c r="L77" s="39">
        <f t="shared" si="19"/>
        <v>0</v>
      </c>
      <c r="M77" s="15">
        <f t="shared" si="20"/>
        <v>0</v>
      </c>
      <c r="N77" s="33">
        <f t="shared" si="16"/>
        <v>100</v>
      </c>
      <c r="O77" s="40" t="str">
        <f t="shared" si="21"/>
        <v xml:space="preserve"> </v>
      </c>
      <c r="P77" s="13" t="str">
        <f t="shared" si="22"/>
        <v xml:space="preserve"> </v>
      </c>
      <c r="Q77" s="40">
        <f t="shared" si="23"/>
        <v>0</v>
      </c>
      <c r="R77" s="13">
        <f t="shared" si="24"/>
        <v>1</v>
      </c>
    </row>
    <row r="78" spans="1:18" ht="27.75" customHeight="1" x14ac:dyDescent="0.35">
      <c r="A78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78" s="26"/>
      <c r="C78" s="30"/>
      <c r="D78" s="30"/>
      <c r="E78" s="42">
        <f t="shared" ref="E78:E84" si="25">IF(F78&gt;2999,6,IF(F78 &gt;1499,5,IF(F78&gt;799,4,IF(F78&gt;399,3,IF(F78&gt;99,2,1)))))</f>
        <v>1</v>
      </c>
      <c r="F78" s="32">
        <f>'RAW SCORE'!D67</f>
        <v>0</v>
      </c>
      <c r="G78" s="51" t="str">
        <f t="shared" si="3"/>
        <v>0%</v>
      </c>
      <c r="H78" s="5"/>
      <c r="I78" s="24">
        <f t="shared" si="17"/>
        <v>100</v>
      </c>
      <c r="J78" s="38">
        <f t="shared" si="18"/>
        <v>100</v>
      </c>
      <c r="K78" s="37">
        <f t="shared" si="15"/>
        <v>0</v>
      </c>
      <c r="L78" s="39">
        <f t="shared" si="19"/>
        <v>0</v>
      </c>
      <c r="M78" s="15">
        <f t="shared" si="20"/>
        <v>0</v>
      </c>
      <c r="N78" s="33">
        <f t="shared" si="16"/>
        <v>100</v>
      </c>
      <c r="O78" s="40" t="str">
        <f t="shared" si="21"/>
        <v xml:space="preserve"> </v>
      </c>
      <c r="P78" s="13" t="str">
        <f t="shared" si="22"/>
        <v xml:space="preserve"> </v>
      </c>
      <c r="Q78" s="40">
        <f t="shared" si="23"/>
        <v>0</v>
      </c>
      <c r="R78" s="13">
        <f t="shared" si="24"/>
        <v>1</v>
      </c>
    </row>
    <row r="79" spans="1:18" ht="27.75" customHeight="1" x14ac:dyDescent="0.35">
      <c r="A79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79" s="26"/>
      <c r="C79" s="30"/>
      <c r="D79" s="30"/>
      <c r="E79" s="42">
        <f t="shared" si="25"/>
        <v>1</v>
      </c>
      <c r="F79" s="32">
        <f>'RAW SCORE'!D68</f>
        <v>0</v>
      </c>
      <c r="G79" s="51" t="str">
        <f t="shared" si="3"/>
        <v>0%</v>
      </c>
      <c r="H79" s="5"/>
      <c r="I79" s="24">
        <f t="shared" si="17"/>
        <v>100</v>
      </c>
      <c r="J79" s="38">
        <f t="shared" si="18"/>
        <v>100</v>
      </c>
      <c r="K79" s="37">
        <f t="shared" si="15"/>
        <v>0</v>
      </c>
      <c r="L79" s="39">
        <f t="shared" si="19"/>
        <v>0</v>
      </c>
      <c r="M79" s="15">
        <f t="shared" si="20"/>
        <v>0</v>
      </c>
      <c r="N79" s="33">
        <f t="shared" si="16"/>
        <v>100</v>
      </c>
      <c r="O79" s="40" t="str">
        <f t="shared" si="21"/>
        <v xml:space="preserve"> </v>
      </c>
      <c r="P79" s="13" t="str">
        <f t="shared" si="22"/>
        <v xml:space="preserve"> </v>
      </c>
      <c r="Q79" s="40">
        <f t="shared" si="23"/>
        <v>0</v>
      </c>
      <c r="R79" s="13">
        <f t="shared" si="24"/>
        <v>1</v>
      </c>
    </row>
    <row r="80" spans="1:18" ht="27.75" customHeight="1" x14ac:dyDescent="0.35">
      <c r="A80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80" s="26"/>
      <c r="C80" s="30"/>
      <c r="D80" s="30"/>
      <c r="E80" s="42">
        <f t="shared" si="25"/>
        <v>1</v>
      </c>
      <c r="F80" s="32">
        <f>'RAW SCORE'!D69</f>
        <v>0</v>
      </c>
      <c r="G80" s="51" t="str">
        <f t="shared" ref="G80:G84" si="26">REPT("|",K80/I80*100)&amp;TEXT(K80/I80,"0%")</f>
        <v>0%</v>
      </c>
      <c r="H80" s="5"/>
      <c r="I80" s="24">
        <f t="shared" si="17"/>
        <v>100</v>
      </c>
      <c r="J80" s="38">
        <f t="shared" si="18"/>
        <v>100</v>
      </c>
      <c r="K80" s="37">
        <f t="shared" si="15"/>
        <v>0</v>
      </c>
      <c r="L80" s="39">
        <f t="shared" si="19"/>
        <v>0</v>
      </c>
      <c r="M80" s="15">
        <f t="shared" si="20"/>
        <v>0</v>
      </c>
      <c r="N80" s="33">
        <f t="shared" si="16"/>
        <v>100</v>
      </c>
      <c r="O80" s="40" t="str">
        <f t="shared" si="21"/>
        <v xml:space="preserve"> </v>
      </c>
      <c r="P80" s="13" t="str">
        <f t="shared" si="22"/>
        <v xml:space="preserve"> </v>
      </c>
      <c r="Q80" s="40">
        <f t="shared" si="23"/>
        <v>0</v>
      </c>
      <c r="R80" s="13">
        <f t="shared" si="24"/>
        <v>1</v>
      </c>
    </row>
    <row r="81" spans="1:18" ht="27.75" customHeight="1" x14ac:dyDescent="0.35">
      <c r="A81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81" s="26"/>
      <c r="C81" s="30"/>
      <c r="D81" s="30"/>
      <c r="E81" s="42">
        <f t="shared" si="25"/>
        <v>1</v>
      </c>
      <c r="F81" s="32">
        <f>'RAW SCORE'!D70</f>
        <v>0</v>
      </c>
      <c r="G81" s="51" t="str">
        <f t="shared" si="26"/>
        <v>0%</v>
      </c>
      <c r="H81" s="5"/>
      <c r="I81" s="24">
        <f t="shared" si="17"/>
        <v>100</v>
      </c>
      <c r="J81" s="38">
        <f t="shared" si="18"/>
        <v>100</v>
      </c>
      <c r="K81" s="37">
        <f t="shared" si="15"/>
        <v>0</v>
      </c>
      <c r="L81" s="39">
        <f t="shared" si="19"/>
        <v>0</v>
      </c>
      <c r="M81" s="15">
        <f t="shared" si="20"/>
        <v>0</v>
      </c>
      <c r="N81" s="33">
        <f t="shared" si="16"/>
        <v>100</v>
      </c>
      <c r="O81" s="40" t="str">
        <f t="shared" si="21"/>
        <v xml:space="preserve"> </v>
      </c>
      <c r="P81" s="13" t="str">
        <f t="shared" si="22"/>
        <v xml:space="preserve"> </v>
      </c>
      <c r="Q81" s="40">
        <f t="shared" si="23"/>
        <v>0</v>
      </c>
      <c r="R81" s="13">
        <f t="shared" si="24"/>
        <v>1</v>
      </c>
    </row>
    <row r="82" spans="1:18" ht="27.75" customHeight="1" x14ac:dyDescent="0.35">
      <c r="A82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82" s="26"/>
      <c r="C82" s="30"/>
      <c r="D82" s="30"/>
      <c r="E82" s="42">
        <f t="shared" si="25"/>
        <v>1</v>
      </c>
      <c r="F82" s="32">
        <f>'RAW SCORE'!D71</f>
        <v>0</v>
      </c>
      <c r="G82" s="51" t="str">
        <f t="shared" si="26"/>
        <v>0%</v>
      </c>
      <c r="H82" s="5"/>
      <c r="I82" s="24">
        <f t="shared" si="17"/>
        <v>100</v>
      </c>
      <c r="J82" s="38">
        <f t="shared" si="18"/>
        <v>100</v>
      </c>
      <c r="K82" s="37">
        <f t="shared" si="15"/>
        <v>0</v>
      </c>
      <c r="L82" s="39">
        <f t="shared" si="19"/>
        <v>0</v>
      </c>
      <c r="M82" s="15">
        <f t="shared" si="20"/>
        <v>0</v>
      </c>
      <c r="N82" s="33">
        <f t="shared" si="16"/>
        <v>100</v>
      </c>
      <c r="O82" s="40" t="str">
        <f t="shared" si="21"/>
        <v xml:space="preserve"> </v>
      </c>
      <c r="P82" s="13" t="str">
        <f t="shared" si="22"/>
        <v xml:space="preserve"> </v>
      </c>
      <c r="Q82" s="40">
        <f t="shared" si="23"/>
        <v>0</v>
      </c>
      <c r="R82" s="13">
        <f t="shared" si="24"/>
        <v>1</v>
      </c>
    </row>
    <row r="83" spans="1:18" ht="27.75" customHeight="1" x14ac:dyDescent="0.35">
      <c r="A83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83" s="26"/>
      <c r="C83" s="30"/>
      <c r="D83" s="30"/>
      <c r="E83" s="42">
        <f t="shared" si="25"/>
        <v>1</v>
      </c>
      <c r="F83" s="47">
        <f>'RAW SCORE'!D72</f>
        <v>0</v>
      </c>
      <c r="G83" s="51" t="str">
        <f t="shared" si="26"/>
        <v>0%</v>
      </c>
      <c r="H83" s="5"/>
      <c r="I83" s="24">
        <f t="shared" si="17"/>
        <v>100</v>
      </c>
      <c r="J83" s="38">
        <f t="shared" si="18"/>
        <v>100</v>
      </c>
      <c r="K83" s="37">
        <f t="shared" si="15"/>
        <v>0</v>
      </c>
      <c r="L83" s="39">
        <f t="shared" si="19"/>
        <v>0</v>
      </c>
      <c r="M83" s="15">
        <f t="shared" si="20"/>
        <v>0</v>
      </c>
      <c r="N83" s="33">
        <f t="shared" si="16"/>
        <v>100</v>
      </c>
      <c r="O83" s="40" t="str">
        <f t="shared" si="21"/>
        <v xml:space="preserve"> </v>
      </c>
      <c r="P83" s="13" t="str">
        <f t="shared" si="22"/>
        <v xml:space="preserve"> </v>
      </c>
      <c r="Q83" s="40">
        <f t="shared" si="23"/>
        <v>0</v>
      </c>
      <c r="R83" s="13">
        <f t="shared" si="24"/>
        <v>1</v>
      </c>
    </row>
    <row r="84" spans="1:18" ht="27.75" customHeight="1" x14ac:dyDescent="0.35">
      <c r="A84" s="4" t="str">
        <f>IF(MonthlyExpenses69[[#This Row],[RANK]]&lt;3,"x",IF(MonthlyExpenses69[[#This Row],[RANK]]=3,"star",IF(MonthlyExpenses69[[#This Row],[RANK]]=4,"ticket",IF(MonthlyExpenses69[[#This Row],[RANK]]=5,"goldenticket",IF(MonthlyExpenses69[[#This Row],[RANK]]=6,"diamondgem",)))))</f>
        <v>x</v>
      </c>
      <c r="B84" s="26"/>
      <c r="C84" s="30"/>
      <c r="D84" s="30"/>
      <c r="E84" s="42">
        <f t="shared" si="25"/>
        <v>1</v>
      </c>
      <c r="F84" s="47">
        <f>'RAW SCORE'!D73</f>
        <v>0</v>
      </c>
      <c r="G84" s="51" t="str">
        <f t="shared" si="26"/>
        <v>0%</v>
      </c>
      <c r="H84" s="5"/>
      <c r="I84" s="24">
        <f t="shared" si="17"/>
        <v>100</v>
      </c>
      <c r="J84" s="38">
        <f t="shared" si="18"/>
        <v>100</v>
      </c>
      <c r="K84" s="37">
        <f t="shared" si="15"/>
        <v>0</v>
      </c>
      <c r="L84" s="39">
        <f t="shared" si="19"/>
        <v>0</v>
      </c>
      <c r="M84" s="15">
        <f t="shared" si="20"/>
        <v>0</v>
      </c>
      <c r="N84" s="33">
        <f t="shared" si="16"/>
        <v>100</v>
      </c>
      <c r="O84" s="40" t="str">
        <f t="shared" si="21"/>
        <v xml:space="preserve"> </v>
      </c>
      <c r="P84" s="13" t="str">
        <f t="shared" si="22"/>
        <v xml:space="preserve"> </v>
      </c>
      <c r="Q84" s="40">
        <f t="shared" si="23"/>
        <v>0</v>
      </c>
      <c r="R84" s="13">
        <f t="shared" si="24"/>
        <v>1</v>
      </c>
    </row>
    <row r="85" spans="1:18" ht="27.75" customHeight="1" x14ac:dyDescent="0.15">
      <c r="E85" s="4"/>
      <c r="H85" s="5"/>
      <c r="I85" s="4"/>
      <c r="J85" s="4"/>
      <c r="L85" s="4"/>
      <c r="M85" s="4"/>
      <c r="N85" s="4"/>
      <c r="O85" s="4"/>
    </row>
    <row r="86" spans="1:18" ht="27.75" customHeight="1" x14ac:dyDescent="0.15">
      <c r="E86" s="4"/>
      <c r="H86" s="5"/>
      <c r="I86" s="4"/>
      <c r="J86" s="4"/>
      <c r="L86" s="4"/>
      <c r="M86" s="4"/>
      <c r="N86" s="4"/>
      <c r="O86" s="4"/>
    </row>
    <row r="87" spans="1:18" ht="27.75" customHeight="1" x14ac:dyDescent="0.15">
      <c r="E87" s="4"/>
      <c r="H87" s="5"/>
      <c r="I87" s="4"/>
      <c r="J87" s="4"/>
      <c r="L87" s="4"/>
      <c r="M87" s="4"/>
      <c r="N87" s="4"/>
      <c r="O87" s="4"/>
    </row>
    <row r="88" spans="1:18" ht="27.75" customHeight="1" x14ac:dyDescent="0.15">
      <c r="E88" s="4"/>
    </row>
    <row r="89" spans="1:18" ht="27.75" customHeight="1" x14ac:dyDescent="0.15">
      <c r="E89" s="4"/>
    </row>
    <row r="90" spans="1:18" ht="27.75" customHeight="1" x14ac:dyDescent="0.15">
      <c r="E90" s="4"/>
    </row>
    <row r="91" spans="1:18" ht="27.75" customHeight="1" x14ac:dyDescent="0.15">
      <c r="E91" s="4"/>
    </row>
    <row r="92" spans="1:18" ht="27.75" customHeight="1" x14ac:dyDescent="0.15">
      <c r="E92" s="4"/>
    </row>
    <row r="93" spans="1:18" ht="27.75" customHeight="1" x14ac:dyDescent="0.15">
      <c r="E93" s="4"/>
    </row>
    <row r="94" spans="1:18" ht="27.75" customHeight="1" x14ac:dyDescent="0.15">
      <c r="E94" s="4"/>
    </row>
    <row r="95" spans="1:18" ht="27.75" customHeight="1" x14ac:dyDescent="0.15">
      <c r="E95" s="4"/>
    </row>
    <row r="96" spans="1:18" ht="27.75" customHeight="1" x14ac:dyDescent="0.15">
      <c r="E96" s="4"/>
    </row>
    <row r="97" spans="3:7" ht="27.75" customHeight="1" x14ac:dyDescent="0.15">
      <c r="E97" s="4"/>
    </row>
    <row r="98" spans="3:7" ht="27.75" customHeight="1" x14ac:dyDescent="0.15">
      <c r="E98" s="4"/>
    </row>
    <row r="99" spans="3:7" ht="27.75" customHeight="1" x14ac:dyDescent="0.15">
      <c r="E99" s="4"/>
    </row>
    <row r="100" spans="3:7" ht="27.75" customHeight="1" x14ac:dyDescent="0.15">
      <c r="C100" s="6"/>
      <c r="D100" s="5"/>
      <c r="E100" s="4"/>
      <c r="F100" s="6"/>
      <c r="G100" s="5"/>
    </row>
    <row r="101" spans="3:7" ht="27.75" customHeight="1" x14ac:dyDescent="0.15">
      <c r="C101" s="6"/>
      <c r="D101" s="5"/>
      <c r="E101" s="4"/>
      <c r="F101" s="6"/>
      <c r="G101" s="5"/>
    </row>
  </sheetData>
  <mergeCells count="1">
    <mergeCell ref="C4:D4"/>
  </mergeCells>
  <phoneticPr fontId="17" type="noConversion"/>
  <conditionalFormatting sqref="G15:G84">
    <cfRule type="expression" dxfId="27" priority="1">
      <formula>E15=6</formula>
    </cfRule>
    <cfRule type="expression" dxfId="26" priority="2">
      <formula>E15=5</formula>
    </cfRule>
    <cfRule type="expression" dxfId="25" priority="3">
      <formula>E15=4</formula>
    </cfRule>
    <cfRule type="expression" dxfId="24" priority="4">
      <formula>E15=3</formula>
    </cfRule>
    <cfRule type="expression" dxfId="23" priority="5">
      <formula>E15=2</formula>
    </cfRule>
    <cfRule type="expression" dxfId="22" priority="6">
      <formula>E15=1</formula>
    </cfRule>
    <cfRule type="dataBar" priority="16">
      <dataBar>
        <cfvo type="num" val="0"/>
        <cfvo type="num" val="100"/>
        <color rgb="FF7030A0"/>
      </dataBar>
      <extLst>
        <ext xmlns:x14="http://schemas.microsoft.com/office/spreadsheetml/2009/9/main" uri="{B025F937-C7B1-47D3-B67F-A62EFF666E3E}">
          <x14:id>{2C9DE780-339D-4986-8F2F-3D5EF73CE1F4}</x14:id>
        </ext>
      </extLst>
    </cfRule>
  </conditionalFormatting>
  <printOptions horizontalCentered="1"/>
  <pageMargins left="0.4" right="0.4" top="0.4" bottom="0.4" header="0.25" footer="0.25"/>
  <pageSetup scale="71" fitToHeight="0" orientation="portrait" r:id="rId1"/>
  <headerFooter differentFirst="1">
    <oddFooter>&amp;CPage &amp;P of &amp;N</oddFooter>
  </headerFooter>
  <drawing r:id="rId2"/>
  <legacyDrawing r:id="rId3"/>
  <tableParts count="2"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9DE780-339D-4986-8F2F-3D5EF73CE1F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G15:G84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U76"/>
  <sheetViews>
    <sheetView topLeftCell="B51" workbookViewId="0">
      <selection activeCell="C64" sqref="C64:C74"/>
    </sheetView>
  </sheetViews>
  <sheetFormatPr defaultRowHeight="12.75" x14ac:dyDescent="0.15"/>
  <cols>
    <col min="3" max="3" width="45.73828125" customWidth="1"/>
    <col min="4" max="4" width="13.9375" customWidth="1"/>
  </cols>
  <sheetData>
    <row r="2" spans="3:21" ht="13.5" thickBot="1" x14ac:dyDescent="0.2"/>
    <row r="3" spans="3:21" ht="18.75" thickBot="1" x14ac:dyDescent="0.25">
      <c r="C3" s="59" t="s">
        <v>24</v>
      </c>
      <c r="D3" s="72"/>
      <c r="E3" s="60" t="s">
        <v>31</v>
      </c>
      <c r="F3" s="61">
        <v>10</v>
      </c>
      <c r="G3" s="61">
        <v>10</v>
      </c>
      <c r="H3" s="61">
        <v>10</v>
      </c>
      <c r="I3" s="61">
        <v>10</v>
      </c>
      <c r="J3" s="61"/>
      <c r="K3" s="61">
        <v>10</v>
      </c>
      <c r="L3" s="61">
        <v>10</v>
      </c>
      <c r="M3" s="61">
        <v>10</v>
      </c>
      <c r="N3" s="61"/>
      <c r="O3" s="61">
        <v>10</v>
      </c>
      <c r="P3" s="61">
        <v>10</v>
      </c>
      <c r="Q3" s="61"/>
      <c r="R3" s="61"/>
      <c r="S3" s="76">
        <v>0.3</v>
      </c>
      <c r="T3" s="77">
        <v>0.7</v>
      </c>
      <c r="U3" s="78">
        <v>1</v>
      </c>
    </row>
    <row r="4" spans="3:21" ht="17.25" x14ac:dyDescent="0.2">
      <c r="C4" s="43"/>
      <c r="D4" s="73">
        <f>R4</f>
        <v>0</v>
      </c>
      <c r="E4" s="62">
        <f t="shared" ref="E4:E67" si="0">U4</f>
        <v>0</v>
      </c>
      <c r="F4" s="63"/>
      <c r="G4" s="64"/>
      <c r="H4" s="63"/>
      <c r="I4" s="64"/>
      <c r="J4" s="75">
        <f t="shared" ref="J4:J67" si="1">SUM(F4:I4)</f>
        <v>0</v>
      </c>
      <c r="K4" s="63"/>
      <c r="L4" s="63"/>
      <c r="M4" s="63"/>
      <c r="N4" s="75">
        <f t="shared" ref="N4:N67" si="2">SUM(K4:M4)</f>
        <v>0</v>
      </c>
      <c r="O4" s="64"/>
      <c r="P4" s="64"/>
      <c r="Q4" s="75">
        <f t="shared" ref="Q4:Q67" si="3">SUM(O4:P4)</f>
        <v>0</v>
      </c>
      <c r="R4" s="66">
        <f t="shared" ref="R4:R45" si="4">J4+(2*N4)+Q4</f>
        <v>0</v>
      </c>
      <c r="S4" s="67">
        <f t="shared" ref="S4:S67" si="5">(R4/100)*30</f>
        <v>0</v>
      </c>
      <c r="T4" s="63"/>
      <c r="U4" s="68">
        <f t="shared" ref="U4:U67" si="6">S4+T4</f>
        <v>0</v>
      </c>
    </row>
    <row r="5" spans="3:21" ht="17.25" x14ac:dyDescent="0.2">
      <c r="C5" s="43"/>
      <c r="D5" s="73">
        <f t="shared" ref="D5:D68" si="7">R5</f>
        <v>0</v>
      </c>
      <c r="E5" s="62">
        <f t="shared" si="0"/>
        <v>0</v>
      </c>
      <c r="F5" s="63"/>
      <c r="G5" s="64"/>
      <c r="H5" s="63"/>
      <c r="I5" s="64"/>
      <c r="J5" s="75">
        <f t="shared" si="1"/>
        <v>0</v>
      </c>
      <c r="K5" s="63"/>
      <c r="L5" s="63"/>
      <c r="M5" s="63"/>
      <c r="N5" s="75">
        <f t="shared" si="2"/>
        <v>0</v>
      </c>
      <c r="O5" s="64"/>
      <c r="P5" s="64"/>
      <c r="Q5" s="75">
        <f t="shared" si="3"/>
        <v>0</v>
      </c>
      <c r="R5" s="66">
        <f t="shared" si="4"/>
        <v>0</v>
      </c>
      <c r="S5" s="67">
        <f t="shared" si="5"/>
        <v>0</v>
      </c>
      <c r="T5" s="63"/>
      <c r="U5" s="68">
        <f t="shared" si="6"/>
        <v>0</v>
      </c>
    </row>
    <row r="6" spans="3:21" ht="17.25" x14ac:dyDescent="0.2">
      <c r="C6" s="43"/>
      <c r="D6" s="73">
        <f t="shared" si="7"/>
        <v>0</v>
      </c>
      <c r="E6" s="62">
        <f t="shared" si="0"/>
        <v>0</v>
      </c>
      <c r="F6" s="63"/>
      <c r="G6" s="64"/>
      <c r="H6" s="63"/>
      <c r="I6" s="64"/>
      <c r="J6" s="75">
        <f t="shared" si="1"/>
        <v>0</v>
      </c>
      <c r="K6" s="63"/>
      <c r="L6" s="63"/>
      <c r="M6" s="63"/>
      <c r="N6" s="75">
        <f t="shared" si="2"/>
        <v>0</v>
      </c>
      <c r="O6" s="64"/>
      <c r="P6" s="64"/>
      <c r="Q6" s="75">
        <f t="shared" si="3"/>
        <v>0</v>
      </c>
      <c r="R6" s="66">
        <f t="shared" si="4"/>
        <v>0</v>
      </c>
      <c r="S6" s="67">
        <f t="shared" si="5"/>
        <v>0</v>
      </c>
      <c r="T6" s="63"/>
      <c r="U6" s="68">
        <f t="shared" si="6"/>
        <v>0</v>
      </c>
    </row>
    <row r="7" spans="3:21" ht="17.25" x14ac:dyDescent="0.2">
      <c r="C7" s="43"/>
      <c r="D7" s="73">
        <f t="shared" si="7"/>
        <v>0</v>
      </c>
      <c r="E7" s="62">
        <f t="shared" si="0"/>
        <v>0</v>
      </c>
      <c r="F7" s="63"/>
      <c r="G7" s="64"/>
      <c r="H7" s="63"/>
      <c r="I7" s="64"/>
      <c r="J7" s="75">
        <f t="shared" si="1"/>
        <v>0</v>
      </c>
      <c r="K7" s="63"/>
      <c r="L7" s="63"/>
      <c r="M7" s="63"/>
      <c r="N7" s="75">
        <f t="shared" si="2"/>
        <v>0</v>
      </c>
      <c r="O7" s="64"/>
      <c r="P7" s="64"/>
      <c r="Q7" s="75">
        <f t="shared" si="3"/>
        <v>0</v>
      </c>
      <c r="R7" s="66">
        <f t="shared" si="4"/>
        <v>0</v>
      </c>
      <c r="S7" s="67">
        <f t="shared" si="5"/>
        <v>0</v>
      </c>
      <c r="T7" s="63"/>
      <c r="U7" s="68">
        <f t="shared" si="6"/>
        <v>0</v>
      </c>
    </row>
    <row r="8" spans="3:21" ht="17.25" x14ac:dyDescent="0.2">
      <c r="C8" s="43"/>
      <c r="D8" s="73">
        <f t="shared" si="7"/>
        <v>0</v>
      </c>
      <c r="E8" s="62">
        <f t="shared" si="0"/>
        <v>0</v>
      </c>
      <c r="F8" s="63"/>
      <c r="G8" s="64"/>
      <c r="H8" s="63"/>
      <c r="I8" s="64"/>
      <c r="J8" s="75">
        <f t="shared" si="1"/>
        <v>0</v>
      </c>
      <c r="K8" s="63"/>
      <c r="L8" s="63"/>
      <c r="M8" s="63"/>
      <c r="N8" s="75">
        <f t="shared" si="2"/>
        <v>0</v>
      </c>
      <c r="O8" s="64"/>
      <c r="P8" s="64"/>
      <c r="Q8" s="75">
        <f t="shared" si="3"/>
        <v>0</v>
      </c>
      <c r="R8" s="66">
        <f t="shared" si="4"/>
        <v>0</v>
      </c>
      <c r="S8" s="67">
        <f t="shared" si="5"/>
        <v>0</v>
      </c>
      <c r="T8" s="63"/>
      <c r="U8" s="68">
        <f t="shared" si="6"/>
        <v>0</v>
      </c>
    </row>
    <row r="9" spans="3:21" ht="17.25" x14ac:dyDescent="0.2">
      <c r="C9" s="43"/>
      <c r="D9" s="73">
        <f t="shared" si="7"/>
        <v>0</v>
      </c>
      <c r="E9" s="62">
        <f t="shared" si="0"/>
        <v>0</v>
      </c>
      <c r="F9" s="63"/>
      <c r="G9" s="64"/>
      <c r="H9" s="63"/>
      <c r="I9" s="64"/>
      <c r="J9" s="75">
        <f t="shared" si="1"/>
        <v>0</v>
      </c>
      <c r="K9" s="63"/>
      <c r="L9" s="63"/>
      <c r="M9" s="63"/>
      <c r="N9" s="75">
        <f t="shared" si="2"/>
        <v>0</v>
      </c>
      <c r="O9" s="64"/>
      <c r="P9" s="64"/>
      <c r="Q9" s="75">
        <f t="shared" si="3"/>
        <v>0</v>
      </c>
      <c r="R9" s="66">
        <f t="shared" si="4"/>
        <v>0</v>
      </c>
      <c r="S9" s="67">
        <f t="shared" si="5"/>
        <v>0</v>
      </c>
      <c r="T9" s="63"/>
      <c r="U9" s="68">
        <f t="shared" si="6"/>
        <v>0</v>
      </c>
    </row>
    <row r="10" spans="3:21" ht="17.25" x14ac:dyDescent="0.2">
      <c r="C10" s="43"/>
      <c r="D10" s="73">
        <f t="shared" si="7"/>
        <v>0</v>
      </c>
      <c r="E10" s="62">
        <f t="shared" si="0"/>
        <v>0</v>
      </c>
      <c r="F10" s="63"/>
      <c r="G10" s="64"/>
      <c r="H10" s="63"/>
      <c r="I10" s="64"/>
      <c r="J10" s="75">
        <f t="shared" si="1"/>
        <v>0</v>
      </c>
      <c r="K10" s="63"/>
      <c r="L10" s="63"/>
      <c r="M10" s="63"/>
      <c r="N10" s="75">
        <f t="shared" si="2"/>
        <v>0</v>
      </c>
      <c r="O10" s="64"/>
      <c r="P10" s="64"/>
      <c r="Q10" s="75">
        <f t="shared" si="3"/>
        <v>0</v>
      </c>
      <c r="R10" s="66">
        <f t="shared" si="4"/>
        <v>0</v>
      </c>
      <c r="S10" s="67">
        <f t="shared" si="5"/>
        <v>0</v>
      </c>
      <c r="T10" s="63"/>
      <c r="U10" s="68">
        <f t="shared" si="6"/>
        <v>0</v>
      </c>
    </row>
    <row r="11" spans="3:21" ht="17.25" x14ac:dyDescent="0.2">
      <c r="C11" s="43"/>
      <c r="D11" s="73">
        <f t="shared" si="7"/>
        <v>0</v>
      </c>
      <c r="E11" s="62">
        <f t="shared" si="0"/>
        <v>0</v>
      </c>
      <c r="F11" s="63"/>
      <c r="G11" s="64"/>
      <c r="H11" s="63"/>
      <c r="I11" s="64"/>
      <c r="J11" s="75">
        <f t="shared" si="1"/>
        <v>0</v>
      </c>
      <c r="K11" s="63"/>
      <c r="L11" s="63"/>
      <c r="M11" s="63"/>
      <c r="N11" s="75">
        <f t="shared" si="2"/>
        <v>0</v>
      </c>
      <c r="O11" s="64"/>
      <c r="P11" s="64"/>
      <c r="Q11" s="75">
        <f t="shared" si="3"/>
        <v>0</v>
      </c>
      <c r="R11" s="66">
        <f t="shared" si="4"/>
        <v>0</v>
      </c>
      <c r="S11" s="67">
        <f t="shared" si="5"/>
        <v>0</v>
      </c>
      <c r="T11" s="63"/>
      <c r="U11" s="68">
        <f t="shared" si="6"/>
        <v>0</v>
      </c>
    </row>
    <row r="12" spans="3:21" ht="17.25" x14ac:dyDescent="0.2">
      <c r="C12" s="43"/>
      <c r="D12" s="73">
        <f t="shared" si="7"/>
        <v>0</v>
      </c>
      <c r="E12" s="62">
        <f t="shared" si="0"/>
        <v>0</v>
      </c>
      <c r="F12" s="63"/>
      <c r="G12" s="64"/>
      <c r="H12" s="63"/>
      <c r="I12" s="64"/>
      <c r="J12" s="75">
        <f t="shared" si="1"/>
        <v>0</v>
      </c>
      <c r="K12" s="63"/>
      <c r="L12" s="63"/>
      <c r="M12" s="63"/>
      <c r="N12" s="75">
        <f t="shared" si="2"/>
        <v>0</v>
      </c>
      <c r="O12" s="64"/>
      <c r="P12" s="64"/>
      <c r="Q12" s="75">
        <f t="shared" si="3"/>
        <v>0</v>
      </c>
      <c r="R12" s="66">
        <f t="shared" si="4"/>
        <v>0</v>
      </c>
      <c r="S12" s="67">
        <f t="shared" si="5"/>
        <v>0</v>
      </c>
      <c r="T12" s="63"/>
      <c r="U12" s="68">
        <f t="shared" si="6"/>
        <v>0</v>
      </c>
    </row>
    <row r="13" spans="3:21" ht="17.25" x14ac:dyDescent="0.2">
      <c r="C13" s="58" t="s">
        <v>25</v>
      </c>
      <c r="D13" s="73">
        <f t="shared" si="7"/>
        <v>0</v>
      </c>
      <c r="E13" s="62">
        <f t="shared" si="0"/>
        <v>0</v>
      </c>
      <c r="F13" s="63"/>
      <c r="G13" s="64"/>
      <c r="H13" s="63"/>
      <c r="I13" s="64"/>
      <c r="J13" s="75">
        <f t="shared" si="1"/>
        <v>0</v>
      </c>
      <c r="K13" s="63"/>
      <c r="L13" s="63"/>
      <c r="M13" s="63"/>
      <c r="N13" s="75">
        <f t="shared" si="2"/>
        <v>0</v>
      </c>
      <c r="O13" s="64"/>
      <c r="P13" s="64"/>
      <c r="Q13" s="75">
        <f t="shared" si="3"/>
        <v>0</v>
      </c>
      <c r="R13" s="66">
        <f t="shared" si="4"/>
        <v>0</v>
      </c>
      <c r="S13" s="67">
        <f t="shared" si="5"/>
        <v>0</v>
      </c>
      <c r="T13" s="63"/>
      <c r="U13" s="68">
        <f t="shared" si="6"/>
        <v>0</v>
      </c>
    </row>
    <row r="14" spans="3:21" ht="17.25" x14ac:dyDescent="0.2">
      <c r="C14" s="43"/>
      <c r="D14" s="73">
        <f t="shared" si="7"/>
        <v>0</v>
      </c>
      <c r="E14" s="62">
        <f t="shared" si="0"/>
        <v>0</v>
      </c>
      <c r="F14" s="63"/>
      <c r="G14" s="64"/>
      <c r="H14" s="63"/>
      <c r="I14" s="64"/>
      <c r="J14" s="75">
        <f t="shared" si="1"/>
        <v>0</v>
      </c>
      <c r="K14" s="63"/>
      <c r="L14" s="63"/>
      <c r="M14" s="63"/>
      <c r="N14" s="75">
        <f t="shared" si="2"/>
        <v>0</v>
      </c>
      <c r="O14" s="64"/>
      <c r="P14" s="64"/>
      <c r="Q14" s="75">
        <f t="shared" si="3"/>
        <v>0</v>
      </c>
      <c r="R14" s="66">
        <f t="shared" si="4"/>
        <v>0</v>
      </c>
      <c r="S14" s="67">
        <f t="shared" si="5"/>
        <v>0</v>
      </c>
      <c r="T14" s="63"/>
      <c r="U14" s="68">
        <f t="shared" si="6"/>
        <v>0</v>
      </c>
    </row>
    <row r="15" spans="3:21" ht="17.25" x14ac:dyDescent="0.2">
      <c r="C15" s="43"/>
      <c r="D15" s="73">
        <f t="shared" si="7"/>
        <v>0</v>
      </c>
      <c r="E15" s="62">
        <f t="shared" si="0"/>
        <v>0</v>
      </c>
      <c r="F15" s="63"/>
      <c r="G15" s="64"/>
      <c r="H15" s="63"/>
      <c r="I15" s="64"/>
      <c r="J15" s="75">
        <f t="shared" si="1"/>
        <v>0</v>
      </c>
      <c r="K15" s="63"/>
      <c r="L15" s="63"/>
      <c r="M15" s="63"/>
      <c r="N15" s="75">
        <f t="shared" si="2"/>
        <v>0</v>
      </c>
      <c r="O15" s="64"/>
      <c r="P15" s="64"/>
      <c r="Q15" s="75">
        <f t="shared" si="3"/>
        <v>0</v>
      </c>
      <c r="R15" s="66">
        <f t="shared" si="4"/>
        <v>0</v>
      </c>
      <c r="S15" s="67">
        <f t="shared" si="5"/>
        <v>0</v>
      </c>
      <c r="T15" s="63"/>
      <c r="U15" s="68">
        <f t="shared" si="6"/>
        <v>0</v>
      </c>
    </row>
    <row r="16" spans="3:21" ht="17.25" x14ac:dyDescent="0.2">
      <c r="C16" s="43"/>
      <c r="D16" s="73">
        <f t="shared" si="7"/>
        <v>0</v>
      </c>
      <c r="E16" s="62">
        <f t="shared" si="0"/>
        <v>0</v>
      </c>
      <c r="F16" s="63"/>
      <c r="G16" s="64"/>
      <c r="H16" s="63"/>
      <c r="I16" s="64"/>
      <c r="J16" s="75">
        <f t="shared" si="1"/>
        <v>0</v>
      </c>
      <c r="K16" s="63"/>
      <c r="L16" s="63"/>
      <c r="M16" s="63"/>
      <c r="N16" s="75">
        <f t="shared" si="2"/>
        <v>0</v>
      </c>
      <c r="O16" s="64"/>
      <c r="P16" s="64"/>
      <c r="Q16" s="75">
        <f t="shared" si="3"/>
        <v>0</v>
      </c>
      <c r="R16" s="66">
        <f t="shared" si="4"/>
        <v>0</v>
      </c>
      <c r="S16" s="67">
        <f t="shared" si="5"/>
        <v>0</v>
      </c>
      <c r="T16" s="63"/>
      <c r="U16" s="68">
        <f t="shared" si="6"/>
        <v>0</v>
      </c>
    </row>
    <row r="17" spans="3:21" ht="17.25" x14ac:dyDescent="0.2">
      <c r="C17" s="43"/>
      <c r="D17" s="73">
        <f t="shared" si="7"/>
        <v>0</v>
      </c>
      <c r="E17" s="62">
        <f t="shared" si="0"/>
        <v>0</v>
      </c>
      <c r="F17" s="63"/>
      <c r="G17" s="64"/>
      <c r="H17" s="63"/>
      <c r="I17" s="64"/>
      <c r="J17" s="75">
        <f t="shared" si="1"/>
        <v>0</v>
      </c>
      <c r="K17" s="63"/>
      <c r="L17" s="63"/>
      <c r="M17" s="63"/>
      <c r="N17" s="75">
        <f t="shared" si="2"/>
        <v>0</v>
      </c>
      <c r="O17" s="64"/>
      <c r="P17" s="64"/>
      <c r="Q17" s="75">
        <f t="shared" si="3"/>
        <v>0</v>
      </c>
      <c r="R17" s="66">
        <f t="shared" si="4"/>
        <v>0</v>
      </c>
      <c r="S17" s="67">
        <f t="shared" si="5"/>
        <v>0</v>
      </c>
      <c r="T17" s="63"/>
      <c r="U17" s="68">
        <f t="shared" si="6"/>
        <v>0</v>
      </c>
    </row>
    <row r="18" spans="3:21" ht="17.25" x14ac:dyDescent="0.2">
      <c r="C18" s="43"/>
      <c r="D18" s="73">
        <f t="shared" si="7"/>
        <v>0</v>
      </c>
      <c r="E18" s="62">
        <f t="shared" si="0"/>
        <v>0</v>
      </c>
      <c r="F18" s="63"/>
      <c r="G18" s="64"/>
      <c r="H18" s="63"/>
      <c r="I18" s="64"/>
      <c r="J18" s="75">
        <f t="shared" si="1"/>
        <v>0</v>
      </c>
      <c r="K18" s="63"/>
      <c r="L18" s="63"/>
      <c r="M18" s="63"/>
      <c r="N18" s="75">
        <f t="shared" si="2"/>
        <v>0</v>
      </c>
      <c r="O18" s="64"/>
      <c r="P18" s="64"/>
      <c r="Q18" s="75">
        <f t="shared" si="3"/>
        <v>0</v>
      </c>
      <c r="R18" s="66">
        <f t="shared" si="4"/>
        <v>0</v>
      </c>
      <c r="S18" s="67">
        <f t="shared" si="5"/>
        <v>0</v>
      </c>
      <c r="T18" s="63"/>
      <c r="U18" s="68">
        <f t="shared" si="6"/>
        <v>0</v>
      </c>
    </row>
    <row r="19" spans="3:21" ht="17.25" x14ac:dyDescent="0.2">
      <c r="C19" s="43"/>
      <c r="D19" s="73">
        <f t="shared" si="7"/>
        <v>0</v>
      </c>
      <c r="E19" s="62">
        <f t="shared" si="0"/>
        <v>0</v>
      </c>
      <c r="F19" s="63"/>
      <c r="G19" s="64"/>
      <c r="H19" s="63"/>
      <c r="I19" s="64"/>
      <c r="J19" s="75">
        <f t="shared" si="1"/>
        <v>0</v>
      </c>
      <c r="K19" s="63"/>
      <c r="L19" s="63"/>
      <c r="M19" s="63"/>
      <c r="N19" s="75">
        <f t="shared" si="2"/>
        <v>0</v>
      </c>
      <c r="O19" s="64"/>
      <c r="P19" s="64"/>
      <c r="Q19" s="75">
        <f t="shared" si="3"/>
        <v>0</v>
      </c>
      <c r="R19" s="66">
        <f t="shared" si="4"/>
        <v>0</v>
      </c>
      <c r="S19" s="67">
        <f t="shared" si="5"/>
        <v>0</v>
      </c>
      <c r="T19" s="63"/>
      <c r="U19" s="68">
        <f t="shared" si="6"/>
        <v>0</v>
      </c>
    </row>
    <row r="20" spans="3:21" ht="17.25" x14ac:dyDescent="0.2">
      <c r="C20" s="43"/>
      <c r="D20" s="73">
        <f t="shared" si="7"/>
        <v>0</v>
      </c>
      <c r="E20" s="62">
        <f t="shared" si="0"/>
        <v>0</v>
      </c>
      <c r="F20" s="63"/>
      <c r="G20" s="64"/>
      <c r="H20" s="63"/>
      <c r="I20" s="64"/>
      <c r="J20" s="75">
        <f t="shared" si="1"/>
        <v>0</v>
      </c>
      <c r="K20" s="63"/>
      <c r="L20" s="63"/>
      <c r="M20" s="63"/>
      <c r="N20" s="75">
        <f t="shared" si="2"/>
        <v>0</v>
      </c>
      <c r="O20" s="64"/>
      <c r="P20" s="64"/>
      <c r="Q20" s="75">
        <f t="shared" si="3"/>
        <v>0</v>
      </c>
      <c r="R20" s="66">
        <f t="shared" si="4"/>
        <v>0</v>
      </c>
      <c r="S20" s="67">
        <f t="shared" si="5"/>
        <v>0</v>
      </c>
      <c r="T20" s="63"/>
      <c r="U20" s="68">
        <f t="shared" si="6"/>
        <v>0</v>
      </c>
    </row>
    <row r="21" spans="3:21" ht="17.25" x14ac:dyDescent="0.2">
      <c r="C21" s="43"/>
      <c r="D21" s="73">
        <f t="shared" si="7"/>
        <v>0</v>
      </c>
      <c r="E21" s="62">
        <f t="shared" si="0"/>
        <v>0</v>
      </c>
      <c r="F21" s="63"/>
      <c r="G21" s="64"/>
      <c r="H21" s="63"/>
      <c r="I21" s="64"/>
      <c r="J21" s="75">
        <f t="shared" si="1"/>
        <v>0</v>
      </c>
      <c r="K21" s="63"/>
      <c r="L21" s="63"/>
      <c r="M21" s="63"/>
      <c r="N21" s="75">
        <f t="shared" si="2"/>
        <v>0</v>
      </c>
      <c r="O21" s="64"/>
      <c r="P21" s="64"/>
      <c r="Q21" s="75">
        <f t="shared" si="3"/>
        <v>0</v>
      </c>
      <c r="R21" s="66">
        <f t="shared" si="4"/>
        <v>0</v>
      </c>
      <c r="S21" s="67">
        <f t="shared" si="5"/>
        <v>0</v>
      </c>
      <c r="T21" s="63"/>
      <c r="U21" s="68">
        <f t="shared" si="6"/>
        <v>0</v>
      </c>
    </row>
    <row r="22" spans="3:21" ht="17.25" x14ac:dyDescent="0.2">
      <c r="C22" s="43"/>
      <c r="D22" s="73">
        <f t="shared" si="7"/>
        <v>0</v>
      </c>
      <c r="E22" s="62">
        <f t="shared" si="0"/>
        <v>0</v>
      </c>
      <c r="F22" s="63"/>
      <c r="G22" s="64"/>
      <c r="H22" s="63"/>
      <c r="I22" s="64"/>
      <c r="J22" s="75">
        <f t="shared" si="1"/>
        <v>0</v>
      </c>
      <c r="K22" s="63"/>
      <c r="L22" s="63"/>
      <c r="M22" s="63"/>
      <c r="N22" s="75">
        <f t="shared" si="2"/>
        <v>0</v>
      </c>
      <c r="O22" s="64"/>
      <c r="P22" s="64"/>
      <c r="Q22" s="75">
        <f t="shared" si="3"/>
        <v>0</v>
      </c>
      <c r="R22" s="66">
        <f t="shared" si="4"/>
        <v>0</v>
      </c>
      <c r="S22" s="67">
        <f t="shared" si="5"/>
        <v>0</v>
      </c>
      <c r="T22" s="63"/>
      <c r="U22" s="68">
        <f t="shared" si="6"/>
        <v>0</v>
      </c>
    </row>
    <row r="23" spans="3:21" ht="17.25" x14ac:dyDescent="0.2">
      <c r="C23" s="58" t="s">
        <v>26</v>
      </c>
      <c r="D23" s="73">
        <f t="shared" si="7"/>
        <v>0</v>
      </c>
      <c r="E23" s="62">
        <f t="shared" si="0"/>
        <v>0</v>
      </c>
      <c r="F23" s="63"/>
      <c r="G23" s="64"/>
      <c r="H23" s="63"/>
      <c r="I23" s="64"/>
      <c r="J23" s="75">
        <f t="shared" si="1"/>
        <v>0</v>
      </c>
      <c r="K23" s="63"/>
      <c r="L23" s="63"/>
      <c r="M23" s="63"/>
      <c r="N23" s="75">
        <f t="shared" si="2"/>
        <v>0</v>
      </c>
      <c r="O23" s="64"/>
      <c r="P23" s="64"/>
      <c r="Q23" s="75">
        <f t="shared" si="3"/>
        <v>0</v>
      </c>
      <c r="R23" s="66">
        <f t="shared" si="4"/>
        <v>0</v>
      </c>
      <c r="S23" s="67">
        <f t="shared" si="5"/>
        <v>0</v>
      </c>
      <c r="T23" s="63"/>
      <c r="U23" s="68">
        <f t="shared" si="6"/>
        <v>0</v>
      </c>
    </row>
    <row r="24" spans="3:21" ht="17.25" x14ac:dyDescent="0.2">
      <c r="C24" s="43"/>
      <c r="D24" s="73">
        <f t="shared" si="7"/>
        <v>0</v>
      </c>
      <c r="E24" s="62">
        <f t="shared" si="0"/>
        <v>0</v>
      </c>
      <c r="F24" s="63"/>
      <c r="G24" s="64"/>
      <c r="H24" s="63"/>
      <c r="I24" s="64"/>
      <c r="J24" s="75">
        <f t="shared" si="1"/>
        <v>0</v>
      </c>
      <c r="K24" s="63"/>
      <c r="L24" s="63"/>
      <c r="M24" s="63"/>
      <c r="N24" s="75">
        <f t="shared" si="2"/>
        <v>0</v>
      </c>
      <c r="O24" s="64"/>
      <c r="P24" s="64"/>
      <c r="Q24" s="75">
        <f t="shared" si="3"/>
        <v>0</v>
      </c>
      <c r="R24" s="66">
        <f t="shared" si="4"/>
        <v>0</v>
      </c>
      <c r="S24" s="67">
        <f t="shared" si="5"/>
        <v>0</v>
      </c>
      <c r="T24" s="63"/>
      <c r="U24" s="68">
        <f t="shared" si="6"/>
        <v>0</v>
      </c>
    </row>
    <row r="25" spans="3:21" ht="17.25" x14ac:dyDescent="0.2">
      <c r="C25" s="43"/>
      <c r="D25" s="73">
        <f t="shared" si="7"/>
        <v>0</v>
      </c>
      <c r="E25" s="62">
        <f t="shared" si="0"/>
        <v>0</v>
      </c>
      <c r="F25" s="63"/>
      <c r="G25" s="64"/>
      <c r="H25" s="63"/>
      <c r="I25" s="64"/>
      <c r="J25" s="75">
        <f t="shared" si="1"/>
        <v>0</v>
      </c>
      <c r="K25" s="63"/>
      <c r="L25" s="63"/>
      <c r="M25" s="63"/>
      <c r="N25" s="75">
        <f t="shared" si="2"/>
        <v>0</v>
      </c>
      <c r="O25" s="64"/>
      <c r="P25" s="64"/>
      <c r="Q25" s="75">
        <f t="shared" si="3"/>
        <v>0</v>
      </c>
      <c r="R25" s="66">
        <f t="shared" si="4"/>
        <v>0</v>
      </c>
      <c r="S25" s="67">
        <f t="shared" si="5"/>
        <v>0</v>
      </c>
      <c r="T25" s="63"/>
      <c r="U25" s="68">
        <f t="shared" si="6"/>
        <v>0</v>
      </c>
    </row>
    <row r="26" spans="3:21" ht="17.25" x14ac:dyDescent="0.2">
      <c r="C26" s="43"/>
      <c r="D26" s="73">
        <f t="shared" si="7"/>
        <v>0</v>
      </c>
      <c r="E26" s="62">
        <f t="shared" si="0"/>
        <v>0</v>
      </c>
      <c r="F26" s="63"/>
      <c r="G26" s="64"/>
      <c r="H26" s="63"/>
      <c r="I26" s="64"/>
      <c r="J26" s="75">
        <f t="shared" si="1"/>
        <v>0</v>
      </c>
      <c r="K26" s="63"/>
      <c r="L26" s="63"/>
      <c r="M26" s="63"/>
      <c r="N26" s="75">
        <f t="shared" si="2"/>
        <v>0</v>
      </c>
      <c r="O26" s="64"/>
      <c r="P26" s="64"/>
      <c r="Q26" s="75">
        <f t="shared" si="3"/>
        <v>0</v>
      </c>
      <c r="R26" s="66">
        <f t="shared" si="4"/>
        <v>0</v>
      </c>
      <c r="S26" s="67">
        <f t="shared" si="5"/>
        <v>0</v>
      </c>
      <c r="T26" s="63"/>
      <c r="U26" s="68">
        <f t="shared" si="6"/>
        <v>0</v>
      </c>
    </row>
    <row r="27" spans="3:21" ht="17.25" x14ac:dyDescent="0.2">
      <c r="C27" s="43"/>
      <c r="D27" s="73">
        <f t="shared" si="7"/>
        <v>0</v>
      </c>
      <c r="E27" s="62">
        <f t="shared" si="0"/>
        <v>0</v>
      </c>
      <c r="F27" s="63"/>
      <c r="G27" s="64"/>
      <c r="H27" s="63"/>
      <c r="I27" s="64"/>
      <c r="J27" s="75">
        <f t="shared" si="1"/>
        <v>0</v>
      </c>
      <c r="K27" s="63"/>
      <c r="L27" s="63"/>
      <c r="M27" s="63"/>
      <c r="N27" s="75">
        <f t="shared" si="2"/>
        <v>0</v>
      </c>
      <c r="O27" s="64"/>
      <c r="P27" s="64"/>
      <c r="Q27" s="75">
        <f t="shared" si="3"/>
        <v>0</v>
      </c>
      <c r="R27" s="66">
        <f t="shared" si="4"/>
        <v>0</v>
      </c>
      <c r="S27" s="67">
        <f t="shared" si="5"/>
        <v>0</v>
      </c>
      <c r="T27" s="63"/>
      <c r="U27" s="68">
        <f t="shared" si="6"/>
        <v>0</v>
      </c>
    </row>
    <row r="28" spans="3:21" ht="17.25" x14ac:dyDescent="0.2">
      <c r="C28" s="43"/>
      <c r="D28" s="73">
        <f t="shared" si="7"/>
        <v>0</v>
      </c>
      <c r="E28" s="62">
        <f t="shared" si="0"/>
        <v>0</v>
      </c>
      <c r="F28" s="63"/>
      <c r="G28" s="64"/>
      <c r="H28" s="63"/>
      <c r="I28" s="64"/>
      <c r="J28" s="75">
        <f t="shared" si="1"/>
        <v>0</v>
      </c>
      <c r="K28" s="63"/>
      <c r="L28" s="63"/>
      <c r="M28" s="63"/>
      <c r="N28" s="75">
        <f t="shared" si="2"/>
        <v>0</v>
      </c>
      <c r="O28" s="64"/>
      <c r="P28" s="64"/>
      <c r="Q28" s="75">
        <f t="shared" si="3"/>
        <v>0</v>
      </c>
      <c r="R28" s="66">
        <f t="shared" si="4"/>
        <v>0</v>
      </c>
      <c r="S28" s="67">
        <f t="shared" si="5"/>
        <v>0</v>
      </c>
      <c r="T28" s="63"/>
      <c r="U28" s="68">
        <f t="shared" si="6"/>
        <v>0</v>
      </c>
    </row>
    <row r="29" spans="3:21" ht="17.25" x14ac:dyDescent="0.2">
      <c r="C29" s="43"/>
      <c r="D29" s="73">
        <f t="shared" si="7"/>
        <v>0</v>
      </c>
      <c r="E29" s="62">
        <f t="shared" si="0"/>
        <v>0</v>
      </c>
      <c r="F29" s="63"/>
      <c r="G29" s="64"/>
      <c r="H29" s="63"/>
      <c r="I29" s="64"/>
      <c r="J29" s="75">
        <f t="shared" si="1"/>
        <v>0</v>
      </c>
      <c r="K29" s="63"/>
      <c r="L29" s="63"/>
      <c r="M29" s="63"/>
      <c r="N29" s="75">
        <f t="shared" si="2"/>
        <v>0</v>
      </c>
      <c r="O29" s="64"/>
      <c r="P29" s="64"/>
      <c r="Q29" s="75">
        <f t="shared" si="3"/>
        <v>0</v>
      </c>
      <c r="R29" s="66">
        <f t="shared" si="4"/>
        <v>0</v>
      </c>
      <c r="S29" s="67">
        <f t="shared" si="5"/>
        <v>0</v>
      </c>
      <c r="T29" s="63"/>
      <c r="U29" s="68">
        <f t="shared" si="6"/>
        <v>0</v>
      </c>
    </row>
    <row r="30" spans="3:21" ht="17.25" x14ac:dyDescent="0.2">
      <c r="C30" s="43"/>
      <c r="D30" s="73">
        <f t="shared" si="7"/>
        <v>0</v>
      </c>
      <c r="E30" s="62">
        <f t="shared" si="0"/>
        <v>0</v>
      </c>
      <c r="F30" s="63"/>
      <c r="G30" s="64"/>
      <c r="H30" s="63"/>
      <c r="I30" s="64"/>
      <c r="J30" s="75">
        <f t="shared" si="1"/>
        <v>0</v>
      </c>
      <c r="K30" s="63"/>
      <c r="L30" s="63"/>
      <c r="M30" s="63"/>
      <c r="N30" s="75">
        <f t="shared" si="2"/>
        <v>0</v>
      </c>
      <c r="O30" s="64"/>
      <c r="P30" s="64"/>
      <c r="Q30" s="75">
        <f t="shared" si="3"/>
        <v>0</v>
      </c>
      <c r="R30" s="66">
        <f t="shared" si="4"/>
        <v>0</v>
      </c>
      <c r="S30" s="67">
        <f t="shared" si="5"/>
        <v>0</v>
      </c>
      <c r="T30" s="63"/>
      <c r="U30" s="68">
        <f t="shared" si="6"/>
        <v>0</v>
      </c>
    </row>
    <row r="31" spans="3:21" ht="17.25" x14ac:dyDescent="0.2">
      <c r="C31" s="43"/>
      <c r="D31" s="73">
        <f t="shared" si="7"/>
        <v>0</v>
      </c>
      <c r="E31" s="62">
        <f t="shared" si="0"/>
        <v>0</v>
      </c>
      <c r="F31" s="63"/>
      <c r="G31" s="64"/>
      <c r="H31" s="63"/>
      <c r="I31" s="64"/>
      <c r="J31" s="75">
        <f t="shared" si="1"/>
        <v>0</v>
      </c>
      <c r="K31" s="63"/>
      <c r="L31" s="63"/>
      <c r="M31" s="63"/>
      <c r="N31" s="75">
        <f t="shared" si="2"/>
        <v>0</v>
      </c>
      <c r="O31" s="64"/>
      <c r="P31" s="64"/>
      <c r="Q31" s="75">
        <f t="shared" si="3"/>
        <v>0</v>
      </c>
      <c r="R31" s="66">
        <f t="shared" si="4"/>
        <v>0</v>
      </c>
      <c r="S31" s="67">
        <f t="shared" si="5"/>
        <v>0</v>
      </c>
      <c r="T31" s="63"/>
      <c r="U31" s="68">
        <f t="shared" si="6"/>
        <v>0</v>
      </c>
    </row>
    <row r="32" spans="3:21" ht="17.25" x14ac:dyDescent="0.2">
      <c r="C32" s="43"/>
      <c r="D32" s="73">
        <f t="shared" si="7"/>
        <v>0</v>
      </c>
      <c r="E32" s="62">
        <f t="shared" si="0"/>
        <v>0</v>
      </c>
      <c r="F32" s="63"/>
      <c r="G32" s="64"/>
      <c r="H32" s="63"/>
      <c r="I32" s="64"/>
      <c r="J32" s="75">
        <f t="shared" si="1"/>
        <v>0</v>
      </c>
      <c r="K32" s="63"/>
      <c r="L32" s="63"/>
      <c r="M32" s="63"/>
      <c r="N32" s="75">
        <f t="shared" si="2"/>
        <v>0</v>
      </c>
      <c r="O32" s="64"/>
      <c r="P32" s="64"/>
      <c r="Q32" s="75">
        <f t="shared" si="3"/>
        <v>0</v>
      </c>
      <c r="R32" s="66">
        <f t="shared" si="4"/>
        <v>0</v>
      </c>
      <c r="S32" s="67">
        <f t="shared" si="5"/>
        <v>0</v>
      </c>
      <c r="T32" s="63"/>
      <c r="U32" s="68">
        <f t="shared" si="6"/>
        <v>0</v>
      </c>
    </row>
    <row r="33" spans="3:21" ht="17.25" x14ac:dyDescent="0.2">
      <c r="C33" s="58" t="s">
        <v>27</v>
      </c>
      <c r="D33" s="73">
        <f t="shared" si="7"/>
        <v>0</v>
      </c>
      <c r="E33" s="62">
        <f t="shared" si="0"/>
        <v>0</v>
      </c>
      <c r="F33" s="63"/>
      <c r="G33" s="64"/>
      <c r="H33" s="63"/>
      <c r="I33" s="64"/>
      <c r="J33" s="75">
        <f t="shared" si="1"/>
        <v>0</v>
      </c>
      <c r="K33" s="63"/>
      <c r="L33" s="63"/>
      <c r="M33" s="63"/>
      <c r="N33" s="75">
        <f t="shared" si="2"/>
        <v>0</v>
      </c>
      <c r="O33" s="64"/>
      <c r="P33" s="64"/>
      <c r="Q33" s="75">
        <f t="shared" si="3"/>
        <v>0</v>
      </c>
      <c r="R33" s="66">
        <f t="shared" si="4"/>
        <v>0</v>
      </c>
      <c r="S33" s="67">
        <f t="shared" si="5"/>
        <v>0</v>
      </c>
      <c r="T33" s="63"/>
      <c r="U33" s="68">
        <f t="shared" si="6"/>
        <v>0</v>
      </c>
    </row>
    <row r="34" spans="3:21" ht="17.25" x14ac:dyDescent="0.2">
      <c r="C34" s="43"/>
      <c r="D34" s="73">
        <f t="shared" si="7"/>
        <v>0</v>
      </c>
      <c r="E34" s="62">
        <f t="shared" si="0"/>
        <v>0</v>
      </c>
      <c r="F34" s="63"/>
      <c r="G34" s="64"/>
      <c r="H34" s="63"/>
      <c r="I34" s="64"/>
      <c r="J34" s="75">
        <f t="shared" si="1"/>
        <v>0</v>
      </c>
      <c r="K34" s="63"/>
      <c r="L34" s="63"/>
      <c r="M34" s="63"/>
      <c r="N34" s="75">
        <f t="shared" si="2"/>
        <v>0</v>
      </c>
      <c r="O34" s="64"/>
      <c r="P34" s="64"/>
      <c r="Q34" s="75">
        <f t="shared" si="3"/>
        <v>0</v>
      </c>
      <c r="R34" s="66">
        <f t="shared" si="4"/>
        <v>0</v>
      </c>
      <c r="S34" s="67">
        <f t="shared" si="5"/>
        <v>0</v>
      </c>
      <c r="T34" s="63"/>
      <c r="U34" s="68">
        <f t="shared" si="6"/>
        <v>0</v>
      </c>
    </row>
    <row r="35" spans="3:21" ht="17.25" x14ac:dyDescent="0.2">
      <c r="C35" s="43"/>
      <c r="D35" s="73">
        <f t="shared" si="7"/>
        <v>0</v>
      </c>
      <c r="E35" s="62">
        <f t="shared" si="0"/>
        <v>0</v>
      </c>
      <c r="F35" s="63"/>
      <c r="G35" s="64"/>
      <c r="H35" s="63"/>
      <c r="I35" s="64"/>
      <c r="J35" s="75">
        <f t="shared" si="1"/>
        <v>0</v>
      </c>
      <c r="K35" s="63"/>
      <c r="L35" s="63"/>
      <c r="M35" s="63"/>
      <c r="N35" s="75">
        <f t="shared" si="2"/>
        <v>0</v>
      </c>
      <c r="O35" s="64"/>
      <c r="P35" s="64"/>
      <c r="Q35" s="75">
        <f t="shared" si="3"/>
        <v>0</v>
      </c>
      <c r="R35" s="66">
        <f t="shared" si="4"/>
        <v>0</v>
      </c>
      <c r="S35" s="67">
        <f t="shared" si="5"/>
        <v>0</v>
      </c>
      <c r="T35" s="63"/>
      <c r="U35" s="68">
        <f t="shared" si="6"/>
        <v>0</v>
      </c>
    </row>
    <row r="36" spans="3:21" ht="17.25" x14ac:dyDescent="0.2">
      <c r="C36" s="43"/>
      <c r="D36" s="73">
        <f t="shared" si="7"/>
        <v>0</v>
      </c>
      <c r="E36" s="62">
        <f t="shared" si="0"/>
        <v>0</v>
      </c>
      <c r="F36" s="63"/>
      <c r="G36" s="64"/>
      <c r="H36" s="63"/>
      <c r="I36" s="64"/>
      <c r="J36" s="75">
        <f t="shared" si="1"/>
        <v>0</v>
      </c>
      <c r="K36" s="63"/>
      <c r="L36" s="63"/>
      <c r="M36" s="63"/>
      <c r="N36" s="75">
        <f t="shared" si="2"/>
        <v>0</v>
      </c>
      <c r="O36" s="64"/>
      <c r="P36" s="64"/>
      <c r="Q36" s="75">
        <f t="shared" si="3"/>
        <v>0</v>
      </c>
      <c r="R36" s="66">
        <f t="shared" si="4"/>
        <v>0</v>
      </c>
      <c r="S36" s="67">
        <f t="shared" si="5"/>
        <v>0</v>
      </c>
      <c r="T36" s="63"/>
      <c r="U36" s="68">
        <f t="shared" si="6"/>
        <v>0</v>
      </c>
    </row>
    <row r="37" spans="3:21" ht="17.25" x14ac:dyDescent="0.2">
      <c r="C37" s="43"/>
      <c r="D37" s="73">
        <f t="shared" si="7"/>
        <v>0</v>
      </c>
      <c r="E37" s="62">
        <f t="shared" si="0"/>
        <v>0</v>
      </c>
      <c r="F37" s="63"/>
      <c r="G37" s="64"/>
      <c r="H37" s="63"/>
      <c r="I37" s="64"/>
      <c r="J37" s="75">
        <f t="shared" si="1"/>
        <v>0</v>
      </c>
      <c r="K37" s="63"/>
      <c r="L37" s="63"/>
      <c r="M37" s="63"/>
      <c r="N37" s="75">
        <f t="shared" si="2"/>
        <v>0</v>
      </c>
      <c r="O37" s="64"/>
      <c r="P37" s="64"/>
      <c r="Q37" s="75">
        <f t="shared" si="3"/>
        <v>0</v>
      </c>
      <c r="R37" s="66">
        <f t="shared" si="4"/>
        <v>0</v>
      </c>
      <c r="S37" s="67">
        <f t="shared" si="5"/>
        <v>0</v>
      </c>
      <c r="T37" s="63"/>
      <c r="U37" s="68">
        <f t="shared" si="6"/>
        <v>0</v>
      </c>
    </row>
    <row r="38" spans="3:21" ht="17.25" x14ac:dyDescent="0.2">
      <c r="C38" s="43"/>
      <c r="D38" s="73">
        <f t="shared" si="7"/>
        <v>0</v>
      </c>
      <c r="E38" s="62">
        <f t="shared" si="0"/>
        <v>0</v>
      </c>
      <c r="F38" s="63"/>
      <c r="G38" s="64"/>
      <c r="H38" s="63"/>
      <c r="I38" s="64"/>
      <c r="J38" s="75">
        <f t="shared" si="1"/>
        <v>0</v>
      </c>
      <c r="K38" s="63"/>
      <c r="L38" s="63"/>
      <c r="M38" s="63"/>
      <c r="N38" s="75">
        <f t="shared" si="2"/>
        <v>0</v>
      </c>
      <c r="O38" s="64"/>
      <c r="P38" s="64"/>
      <c r="Q38" s="75">
        <f t="shared" si="3"/>
        <v>0</v>
      </c>
      <c r="R38" s="66">
        <f t="shared" si="4"/>
        <v>0</v>
      </c>
      <c r="S38" s="67">
        <f t="shared" si="5"/>
        <v>0</v>
      </c>
      <c r="T38" s="63"/>
      <c r="U38" s="68">
        <f t="shared" si="6"/>
        <v>0</v>
      </c>
    </row>
    <row r="39" spans="3:21" ht="17.25" x14ac:dyDescent="0.2">
      <c r="C39" s="43"/>
      <c r="D39" s="73">
        <f t="shared" si="7"/>
        <v>0</v>
      </c>
      <c r="E39" s="62">
        <f t="shared" si="0"/>
        <v>0</v>
      </c>
      <c r="F39" s="63"/>
      <c r="G39" s="64"/>
      <c r="H39" s="63"/>
      <c r="I39" s="64"/>
      <c r="J39" s="75">
        <f t="shared" si="1"/>
        <v>0</v>
      </c>
      <c r="K39" s="63"/>
      <c r="L39" s="63"/>
      <c r="M39" s="63"/>
      <c r="N39" s="75">
        <f t="shared" si="2"/>
        <v>0</v>
      </c>
      <c r="O39" s="64"/>
      <c r="P39" s="64"/>
      <c r="Q39" s="75">
        <f t="shared" si="3"/>
        <v>0</v>
      </c>
      <c r="R39" s="66">
        <f t="shared" si="4"/>
        <v>0</v>
      </c>
      <c r="S39" s="67">
        <f t="shared" si="5"/>
        <v>0</v>
      </c>
      <c r="T39" s="63"/>
      <c r="U39" s="68">
        <f t="shared" si="6"/>
        <v>0</v>
      </c>
    </row>
    <row r="40" spans="3:21" ht="17.25" x14ac:dyDescent="0.2">
      <c r="C40" s="43"/>
      <c r="D40" s="73">
        <f t="shared" si="7"/>
        <v>0</v>
      </c>
      <c r="E40" s="62">
        <f t="shared" si="0"/>
        <v>0</v>
      </c>
      <c r="F40" s="63"/>
      <c r="G40" s="64"/>
      <c r="H40" s="63"/>
      <c r="I40" s="64"/>
      <c r="J40" s="75">
        <f t="shared" si="1"/>
        <v>0</v>
      </c>
      <c r="K40" s="63"/>
      <c r="L40" s="63"/>
      <c r="M40" s="63"/>
      <c r="N40" s="75">
        <f t="shared" si="2"/>
        <v>0</v>
      </c>
      <c r="O40" s="64"/>
      <c r="P40" s="64"/>
      <c r="Q40" s="75">
        <f t="shared" si="3"/>
        <v>0</v>
      </c>
      <c r="R40" s="66">
        <f t="shared" si="4"/>
        <v>0</v>
      </c>
      <c r="S40" s="67">
        <f t="shared" si="5"/>
        <v>0</v>
      </c>
      <c r="T40" s="63"/>
      <c r="U40" s="68">
        <f t="shared" si="6"/>
        <v>0</v>
      </c>
    </row>
    <row r="41" spans="3:21" ht="17.25" x14ac:dyDescent="0.2">
      <c r="C41" s="43"/>
      <c r="D41" s="73">
        <f t="shared" si="7"/>
        <v>0</v>
      </c>
      <c r="E41" s="62">
        <f t="shared" si="0"/>
        <v>0</v>
      </c>
      <c r="F41" s="63"/>
      <c r="G41" s="64"/>
      <c r="H41" s="63"/>
      <c r="I41" s="64"/>
      <c r="J41" s="75">
        <f t="shared" si="1"/>
        <v>0</v>
      </c>
      <c r="K41" s="63"/>
      <c r="L41" s="63"/>
      <c r="M41" s="63"/>
      <c r="N41" s="75">
        <f t="shared" si="2"/>
        <v>0</v>
      </c>
      <c r="O41" s="64"/>
      <c r="P41" s="64"/>
      <c r="Q41" s="75">
        <f t="shared" si="3"/>
        <v>0</v>
      </c>
      <c r="R41" s="66">
        <f t="shared" si="4"/>
        <v>0</v>
      </c>
      <c r="S41" s="67">
        <f t="shared" si="5"/>
        <v>0</v>
      </c>
      <c r="T41" s="63"/>
      <c r="U41" s="68">
        <f t="shared" si="6"/>
        <v>0</v>
      </c>
    </row>
    <row r="42" spans="3:21" ht="17.25" x14ac:dyDescent="0.2">
      <c r="C42" s="43"/>
      <c r="D42" s="73">
        <f t="shared" si="7"/>
        <v>0</v>
      </c>
      <c r="E42" s="62">
        <f t="shared" si="0"/>
        <v>0</v>
      </c>
      <c r="F42" s="63"/>
      <c r="G42" s="64"/>
      <c r="H42" s="63"/>
      <c r="I42" s="64"/>
      <c r="J42" s="75">
        <f t="shared" si="1"/>
        <v>0</v>
      </c>
      <c r="K42" s="63"/>
      <c r="L42" s="63"/>
      <c r="M42" s="63"/>
      <c r="N42" s="75">
        <f t="shared" si="2"/>
        <v>0</v>
      </c>
      <c r="O42" s="64"/>
      <c r="P42" s="64"/>
      <c r="Q42" s="75">
        <f t="shared" si="3"/>
        <v>0</v>
      </c>
      <c r="R42" s="66">
        <f t="shared" si="4"/>
        <v>0</v>
      </c>
      <c r="S42" s="67">
        <f t="shared" si="5"/>
        <v>0</v>
      </c>
      <c r="T42" s="63"/>
      <c r="U42" s="68">
        <f t="shared" si="6"/>
        <v>0</v>
      </c>
    </row>
    <row r="43" spans="3:21" ht="17.25" x14ac:dyDescent="0.2">
      <c r="C43" s="58" t="s">
        <v>28</v>
      </c>
      <c r="D43" s="73">
        <f t="shared" si="7"/>
        <v>0</v>
      </c>
      <c r="E43" s="62">
        <f t="shared" si="0"/>
        <v>0</v>
      </c>
      <c r="F43" s="63"/>
      <c r="G43" s="64"/>
      <c r="H43" s="63"/>
      <c r="I43" s="64"/>
      <c r="J43" s="75">
        <f t="shared" si="1"/>
        <v>0</v>
      </c>
      <c r="K43" s="63"/>
      <c r="L43" s="63"/>
      <c r="M43" s="63"/>
      <c r="N43" s="75">
        <f t="shared" si="2"/>
        <v>0</v>
      </c>
      <c r="O43" s="64"/>
      <c r="P43" s="64"/>
      <c r="Q43" s="75">
        <f t="shared" si="3"/>
        <v>0</v>
      </c>
      <c r="R43" s="66">
        <f t="shared" si="4"/>
        <v>0</v>
      </c>
      <c r="S43" s="67">
        <f t="shared" si="5"/>
        <v>0</v>
      </c>
      <c r="T43" s="63"/>
      <c r="U43" s="68">
        <f t="shared" si="6"/>
        <v>0</v>
      </c>
    </row>
    <row r="44" spans="3:21" ht="17.25" x14ac:dyDescent="0.2">
      <c r="C44" s="43"/>
      <c r="D44" s="73">
        <f t="shared" si="7"/>
        <v>0</v>
      </c>
      <c r="E44" s="62">
        <f t="shared" si="0"/>
        <v>0</v>
      </c>
      <c r="F44" s="63"/>
      <c r="G44" s="64"/>
      <c r="H44" s="63"/>
      <c r="I44" s="64"/>
      <c r="J44" s="75">
        <f t="shared" si="1"/>
        <v>0</v>
      </c>
      <c r="K44" s="63"/>
      <c r="L44" s="63"/>
      <c r="M44" s="63"/>
      <c r="N44" s="75">
        <f t="shared" si="2"/>
        <v>0</v>
      </c>
      <c r="O44" s="64"/>
      <c r="P44" s="64"/>
      <c r="Q44" s="75">
        <f t="shared" si="3"/>
        <v>0</v>
      </c>
      <c r="R44" s="66">
        <f t="shared" si="4"/>
        <v>0</v>
      </c>
      <c r="S44" s="67">
        <f t="shared" si="5"/>
        <v>0</v>
      </c>
      <c r="T44" s="63"/>
      <c r="U44" s="68">
        <f t="shared" si="6"/>
        <v>0</v>
      </c>
    </row>
    <row r="45" spans="3:21" ht="17.25" x14ac:dyDescent="0.2">
      <c r="C45" s="43"/>
      <c r="D45" s="73">
        <f t="shared" si="7"/>
        <v>0</v>
      </c>
      <c r="E45" s="62">
        <f t="shared" si="0"/>
        <v>0</v>
      </c>
      <c r="F45" s="63"/>
      <c r="G45" s="64"/>
      <c r="H45" s="63"/>
      <c r="I45" s="64"/>
      <c r="J45" s="75">
        <f t="shared" si="1"/>
        <v>0</v>
      </c>
      <c r="K45" s="63"/>
      <c r="L45" s="63"/>
      <c r="M45" s="63"/>
      <c r="N45" s="75">
        <f t="shared" si="2"/>
        <v>0</v>
      </c>
      <c r="O45" s="64"/>
      <c r="P45" s="64"/>
      <c r="Q45" s="75">
        <f t="shared" si="3"/>
        <v>0</v>
      </c>
      <c r="R45" s="66">
        <f t="shared" si="4"/>
        <v>0</v>
      </c>
      <c r="S45" s="67">
        <f t="shared" si="5"/>
        <v>0</v>
      </c>
      <c r="T45" s="63"/>
      <c r="U45" s="68">
        <f t="shared" si="6"/>
        <v>0</v>
      </c>
    </row>
    <row r="46" spans="3:21" ht="17.25" x14ac:dyDescent="0.2">
      <c r="C46" s="43"/>
      <c r="D46" s="73">
        <f t="shared" si="7"/>
        <v>0</v>
      </c>
      <c r="E46" s="62">
        <f t="shared" si="0"/>
        <v>0</v>
      </c>
      <c r="F46" s="63"/>
      <c r="G46" s="63"/>
      <c r="H46" s="63"/>
      <c r="I46" s="63"/>
      <c r="J46" s="75">
        <f t="shared" si="1"/>
        <v>0</v>
      </c>
      <c r="K46" s="63"/>
      <c r="L46" s="63"/>
      <c r="M46" s="63"/>
      <c r="N46" s="75">
        <f t="shared" si="2"/>
        <v>0</v>
      </c>
      <c r="O46" s="63"/>
      <c r="P46" s="63"/>
      <c r="Q46" s="75">
        <f t="shared" si="3"/>
        <v>0</v>
      </c>
      <c r="R46" s="66">
        <f t="shared" ref="R46:R75" si="8">J46+N46+Q46</f>
        <v>0</v>
      </c>
      <c r="S46" s="67">
        <f t="shared" si="5"/>
        <v>0</v>
      </c>
      <c r="T46" s="63"/>
      <c r="U46" s="68">
        <f t="shared" si="6"/>
        <v>0</v>
      </c>
    </row>
    <row r="47" spans="3:21" ht="17.25" x14ac:dyDescent="0.2">
      <c r="C47" s="43"/>
      <c r="D47" s="73">
        <f t="shared" si="7"/>
        <v>0</v>
      </c>
      <c r="E47" s="62">
        <f t="shared" si="0"/>
        <v>0</v>
      </c>
      <c r="F47" s="63"/>
      <c r="G47" s="63"/>
      <c r="H47" s="63"/>
      <c r="I47" s="63"/>
      <c r="J47" s="75">
        <f t="shared" si="1"/>
        <v>0</v>
      </c>
      <c r="K47" s="63"/>
      <c r="L47" s="63"/>
      <c r="M47" s="63"/>
      <c r="N47" s="75">
        <f t="shared" si="2"/>
        <v>0</v>
      </c>
      <c r="O47" s="63"/>
      <c r="P47" s="63"/>
      <c r="Q47" s="75">
        <f t="shared" si="3"/>
        <v>0</v>
      </c>
      <c r="R47" s="66">
        <f t="shared" si="8"/>
        <v>0</v>
      </c>
      <c r="S47" s="67">
        <f t="shared" si="5"/>
        <v>0</v>
      </c>
      <c r="T47" s="63"/>
      <c r="U47" s="68">
        <f t="shared" si="6"/>
        <v>0</v>
      </c>
    </row>
    <row r="48" spans="3:21" ht="17.25" x14ac:dyDescent="0.2">
      <c r="C48" s="43"/>
      <c r="D48" s="73">
        <f t="shared" si="7"/>
        <v>0</v>
      </c>
      <c r="E48" s="62">
        <f t="shared" si="0"/>
        <v>0</v>
      </c>
      <c r="F48" s="63"/>
      <c r="G48" s="63"/>
      <c r="H48" s="63"/>
      <c r="I48" s="63"/>
      <c r="J48" s="75">
        <f t="shared" si="1"/>
        <v>0</v>
      </c>
      <c r="K48" s="63"/>
      <c r="L48" s="63"/>
      <c r="M48" s="63"/>
      <c r="N48" s="75">
        <f t="shared" si="2"/>
        <v>0</v>
      </c>
      <c r="O48" s="63"/>
      <c r="P48" s="63"/>
      <c r="Q48" s="75">
        <f t="shared" si="3"/>
        <v>0</v>
      </c>
      <c r="R48" s="66">
        <f t="shared" si="8"/>
        <v>0</v>
      </c>
      <c r="S48" s="67">
        <f t="shared" si="5"/>
        <v>0</v>
      </c>
      <c r="T48" s="63"/>
      <c r="U48" s="68">
        <f t="shared" si="6"/>
        <v>0</v>
      </c>
    </row>
    <row r="49" spans="3:21" ht="17.25" x14ac:dyDescent="0.2">
      <c r="C49" s="43"/>
      <c r="D49" s="73">
        <f t="shared" si="7"/>
        <v>0</v>
      </c>
      <c r="E49" s="62">
        <f t="shared" si="0"/>
        <v>0</v>
      </c>
      <c r="F49" s="63"/>
      <c r="G49" s="63"/>
      <c r="H49" s="63"/>
      <c r="I49" s="63"/>
      <c r="J49" s="75">
        <f t="shared" si="1"/>
        <v>0</v>
      </c>
      <c r="K49" s="63"/>
      <c r="L49" s="63"/>
      <c r="M49" s="63"/>
      <c r="N49" s="75">
        <f t="shared" si="2"/>
        <v>0</v>
      </c>
      <c r="O49" s="63"/>
      <c r="P49" s="63"/>
      <c r="Q49" s="75">
        <f t="shared" si="3"/>
        <v>0</v>
      </c>
      <c r="R49" s="66">
        <f t="shared" si="8"/>
        <v>0</v>
      </c>
      <c r="S49" s="67">
        <f t="shared" si="5"/>
        <v>0</v>
      </c>
      <c r="T49" s="63"/>
      <c r="U49" s="68">
        <f t="shared" si="6"/>
        <v>0</v>
      </c>
    </row>
    <row r="50" spans="3:21" ht="17.25" x14ac:dyDescent="0.2">
      <c r="C50" s="43"/>
      <c r="D50" s="73">
        <f t="shared" si="7"/>
        <v>0</v>
      </c>
      <c r="E50" s="62">
        <f t="shared" si="0"/>
        <v>0</v>
      </c>
      <c r="F50" s="63"/>
      <c r="G50" s="63"/>
      <c r="H50" s="63"/>
      <c r="I50" s="63"/>
      <c r="J50" s="75">
        <f t="shared" si="1"/>
        <v>0</v>
      </c>
      <c r="K50" s="63"/>
      <c r="L50" s="63"/>
      <c r="M50" s="63"/>
      <c r="N50" s="75">
        <f t="shared" si="2"/>
        <v>0</v>
      </c>
      <c r="O50" s="63"/>
      <c r="P50" s="63"/>
      <c r="Q50" s="75">
        <f t="shared" si="3"/>
        <v>0</v>
      </c>
      <c r="R50" s="66">
        <f t="shared" si="8"/>
        <v>0</v>
      </c>
      <c r="S50" s="67">
        <f t="shared" si="5"/>
        <v>0</v>
      </c>
      <c r="T50" s="63"/>
      <c r="U50" s="68">
        <f t="shared" si="6"/>
        <v>0</v>
      </c>
    </row>
    <row r="51" spans="3:21" ht="17.25" x14ac:dyDescent="0.2">
      <c r="C51" s="43"/>
      <c r="D51" s="73">
        <f t="shared" si="7"/>
        <v>0</v>
      </c>
      <c r="E51" s="62">
        <f t="shared" si="0"/>
        <v>0</v>
      </c>
      <c r="F51" s="63"/>
      <c r="G51" s="63"/>
      <c r="H51" s="63"/>
      <c r="I51" s="63"/>
      <c r="J51" s="75">
        <f t="shared" si="1"/>
        <v>0</v>
      </c>
      <c r="K51" s="63"/>
      <c r="L51" s="63"/>
      <c r="M51" s="63"/>
      <c r="N51" s="75">
        <f t="shared" si="2"/>
        <v>0</v>
      </c>
      <c r="O51" s="63"/>
      <c r="P51" s="63"/>
      <c r="Q51" s="75">
        <f t="shared" si="3"/>
        <v>0</v>
      </c>
      <c r="R51" s="66">
        <f t="shared" si="8"/>
        <v>0</v>
      </c>
      <c r="S51" s="67">
        <f t="shared" si="5"/>
        <v>0</v>
      </c>
      <c r="T51" s="63"/>
      <c r="U51" s="68">
        <f t="shared" si="6"/>
        <v>0</v>
      </c>
    </row>
    <row r="52" spans="3:21" ht="17.25" x14ac:dyDescent="0.2">
      <c r="C52" s="43"/>
      <c r="D52" s="73">
        <f t="shared" si="7"/>
        <v>0</v>
      </c>
      <c r="E52" s="62">
        <f t="shared" si="0"/>
        <v>0</v>
      </c>
      <c r="F52" s="63"/>
      <c r="G52" s="63"/>
      <c r="H52" s="63"/>
      <c r="I52" s="63"/>
      <c r="J52" s="75">
        <f t="shared" si="1"/>
        <v>0</v>
      </c>
      <c r="K52" s="63"/>
      <c r="L52" s="63"/>
      <c r="M52" s="63"/>
      <c r="N52" s="75">
        <f t="shared" si="2"/>
        <v>0</v>
      </c>
      <c r="O52" s="63"/>
      <c r="P52" s="63"/>
      <c r="Q52" s="75">
        <f t="shared" si="3"/>
        <v>0</v>
      </c>
      <c r="R52" s="66">
        <f t="shared" si="8"/>
        <v>0</v>
      </c>
      <c r="S52" s="67">
        <f t="shared" si="5"/>
        <v>0</v>
      </c>
      <c r="T52" s="63"/>
      <c r="U52" s="68">
        <f t="shared" si="6"/>
        <v>0</v>
      </c>
    </row>
    <row r="53" spans="3:21" ht="17.25" x14ac:dyDescent="0.2">
      <c r="C53" s="58" t="s">
        <v>29</v>
      </c>
      <c r="D53" s="73">
        <f t="shared" si="7"/>
        <v>0</v>
      </c>
      <c r="E53" s="62">
        <f t="shared" si="0"/>
        <v>0</v>
      </c>
      <c r="F53" s="63"/>
      <c r="G53" s="63"/>
      <c r="H53" s="63"/>
      <c r="I53" s="63"/>
      <c r="J53" s="75">
        <f t="shared" si="1"/>
        <v>0</v>
      </c>
      <c r="K53" s="63"/>
      <c r="L53" s="63"/>
      <c r="M53" s="63"/>
      <c r="N53" s="75">
        <f t="shared" si="2"/>
        <v>0</v>
      </c>
      <c r="O53" s="63"/>
      <c r="P53" s="63"/>
      <c r="Q53" s="75">
        <f t="shared" si="3"/>
        <v>0</v>
      </c>
      <c r="R53" s="66">
        <f t="shared" si="8"/>
        <v>0</v>
      </c>
      <c r="S53" s="67">
        <f t="shared" si="5"/>
        <v>0</v>
      </c>
      <c r="T53" s="63"/>
      <c r="U53" s="68">
        <f t="shared" si="6"/>
        <v>0</v>
      </c>
    </row>
    <row r="54" spans="3:21" ht="17.25" x14ac:dyDescent="0.2">
      <c r="C54" s="43"/>
      <c r="D54" s="73">
        <f t="shared" si="7"/>
        <v>0</v>
      </c>
      <c r="E54" s="62">
        <f t="shared" si="0"/>
        <v>0</v>
      </c>
      <c r="F54" s="63"/>
      <c r="G54" s="63"/>
      <c r="H54" s="63"/>
      <c r="I54" s="63"/>
      <c r="J54" s="75">
        <f t="shared" si="1"/>
        <v>0</v>
      </c>
      <c r="K54" s="63"/>
      <c r="L54" s="63"/>
      <c r="M54" s="63"/>
      <c r="N54" s="75">
        <f t="shared" si="2"/>
        <v>0</v>
      </c>
      <c r="O54" s="63"/>
      <c r="P54" s="63"/>
      <c r="Q54" s="75">
        <f t="shared" si="3"/>
        <v>0</v>
      </c>
      <c r="R54" s="66">
        <f t="shared" si="8"/>
        <v>0</v>
      </c>
      <c r="S54" s="67">
        <f t="shared" si="5"/>
        <v>0</v>
      </c>
      <c r="T54" s="63"/>
      <c r="U54" s="68">
        <f t="shared" si="6"/>
        <v>0</v>
      </c>
    </row>
    <row r="55" spans="3:21" ht="17.25" x14ac:dyDescent="0.2">
      <c r="C55" s="43"/>
      <c r="D55" s="73">
        <f t="shared" si="7"/>
        <v>0</v>
      </c>
      <c r="E55" s="62">
        <f t="shared" si="0"/>
        <v>0</v>
      </c>
      <c r="F55" s="63"/>
      <c r="G55" s="63"/>
      <c r="H55" s="63"/>
      <c r="I55" s="63"/>
      <c r="J55" s="75">
        <f t="shared" si="1"/>
        <v>0</v>
      </c>
      <c r="K55" s="63"/>
      <c r="L55" s="63"/>
      <c r="M55" s="63"/>
      <c r="N55" s="75">
        <f t="shared" si="2"/>
        <v>0</v>
      </c>
      <c r="O55" s="63"/>
      <c r="P55" s="63"/>
      <c r="Q55" s="75">
        <f t="shared" si="3"/>
        <v>0</v>
      </c>
      <c r="R55" s="66">
        <f t="shared" si="8"/>
        <v>0</v>
      </c>
      <c r="S55" s="67">
        <f t="shared" si="5"/>
        <v>0</v>
      </c>
      <c r="T55" s="63"/>
      <c r="U55" s="68">
        <f t="shared" si="6"/>
        <v>0</v>
      </c>
    </row>
    <row r="56" spans="3:21" ht="17.25" x14ac:dyDescent="0.2">
      <c r="C56" s="43"/>
      <c r="D56" s="73">
        <f t="shared" si="7"/>
        <v>0</v>
      </c>
      <c r="E56" s="62">
        <f t="shared" si="0"/>
        <v>0</v>
      </c>
      <c r="F56" s="63"/>
      <c r="G56" s="63"/>
      <c r="H56" s="63"/>
      <c r="I56" s="63"/>
      <c r="J56" s="75">
        <f t="shared" si="1"/>
        <v>0</v>
      </c>
      <c r="K56" s="63"/>
      <c r="L56" s="63"/>
      <c r="M56" s="63"/>
      <c r="N56" s="75">
        <f t="shared" si="2"/>
        <v>0</v>
      </c>
      <c r="O56" s="63"/>
      <c r="P56" s="63"/>
      <c r="Q56" s="75">
        <f t="shared" si="3"/>
        <v>0</v>
      </c>
      <c r="R56" s="66">
        <f t="shared" si="8"/>
        <v>0</v>
      </c>
      <c r="S56" s="67">
        <f t="shared" si="5"/>
        <v>0</v>
      </c>
      <c r="T56" s="63"/>
      <c r="U56" s="68">
        <f t="shared" si="6"/>
        <v>0</v>
      </c>
    </row>
    <row r="57" spans="3:21" ht="17.25" x14ac:dyDescent="0.2">
      <c r="C57" s="43"/>
      <c r="D57" s="73">
        <f t="shared" si="7"/>
        <v>0</v>
      </c>
      <c r="E57" s="62">
        <f t="shared" si="0"/>
        <v>0</v>
      </c>
      <c r="F57" s="63"/>
      <c r="G57" s="63"/>
      <c r="H57" s="63"/>
      <c r="I57" s="63"/>
      <c r="J57" s="75">
        <f t="shared" si="1"/>
        <v>0</v>
      </c>
      <c r="K57" s="63"/>
      <c r="L57" s="63"/>
      <c r="M57" s="63"/>
      <c r="N57" s="75">
        <f t="shared" si="2"/>
        <v>0</v>
      </c>
      <c r="O57" s="63"/>
      <c r="P57" s="63"/>
      <c r="Q57" s="75">
        <f t="shared" si="3"/>
        <v>0</v>
      </c>
      <c r="R57" s="66">
        <f t="shared" si="8"/>
        <v>0</v>
      </c>
      <c r="S57" s="67">
        <f t="shared" si="5"/>
        <v>0</v>
      </c>
      <c r="T57" s="63"/>
      <c r="U57" s="68">
        <f t="shared" si="6"/>
        <v>0</v>
      </c>
    </row>
    <row r="58" spans="3:21" ht="17.25" x14ac:dyDescent="0.2">
      <c r="C58" s="43"/>
      <c r="D58" s="73">
        <f t="shared" si="7"/>
        <v>0</v>
      </c>
      <c r="E58" s="62">
        <f t="shared" si="0"/>
        <v>0</v>
      </c>
      <c r="F58" s="63"/>
      <c r="G58" s="63"/>
      <c r="H58" s="63"/>
      <c r="I58" s="63"/>
      <c r="J58" s="75">
        <f t="shared" si="1"/>
        <v>0</v>
      </c>
      <c r="K58" s="63"/>
      <c r="L58" s="63"/>
      <c r="M58" s="63"/>
      <c r="N58" s="75">
        <f t="shared" si="2"/>
        <v>0</v>
      </c>
      <c r="O58" s="63"/>
      <c r="P58" s="63"/>
      <c r="Q58" s="75">
        <f t="shared" si="3"/>
        <v>0</v>
      </c>
      <c r="R58" s="66">
        <f t="shared" si="8"/>
        <v>0</v>
      </c>
      <c r="S58" s="67">
        <f t="shared" si="5"/>
        <v>0</v>
      </c>
      <c r="T58" s="63"/>
      <c r="U58" s="68">
        <f t="shared" si="6"/>
        <v>0</v>
      </c>
    </row>
    <row r="59" spans="3:21" ht="17.25" x14ac:dyDescent="0.2">
      <c r="C59" s="43"/>
      <c r="D59" s="73">
        <f t="shared" si="7"/>
        <v>0</v>
      </c>
      <c r="E59" s="62">
        <f t="shared" si="0"/>
        <v>0</v>
      </c>
      <c r="F59" s="63"/>
      <c r="G59" s="63"/>
      <c r="H59" s="63"/>
      <c r="I59" s="63"/>
      <c r="J59" s="75">
        <f t="shared" si="1"/>
        <v>0</v>
      </c>
      <c r="K59" s="63"/>
      <c r="L59" s="63"/>
      <c r="M59" s="63"/>
      <c r="N59" s="75">
        <f t="shared" si="2"/>
        <v>0</v>
      </c>
      <c r="O59" s="63"/>
      <c r="P59" s="63"/>
      <c r="Q59" s="75">
        <f t="shared" si="3"/>
        <v>0</v>
      </c>
      <c r="R59" s="66">
        <f t="shared" si="8"/>
        <v>0</v>
      </c>
      <c r="S59" s="67">
        <f t="shared" si="5"/>
        <v>0</v>
      </c>
      <c r="T59" s="63"/>
      <c r="U59" s="68">
        <f t="shared" si="6"/>
        <v>0</v>
      </c>
    </row>
    <row r="60" spans="3:21" ht="17.25" x14ac:dyDescent="0.2">
      <c r="C60" s="43"/>
      <c r="D60" s="73">
        <f t="shared" si="7"/>
        <v>0</v>
      </c>
      <c r="E60" s="62">
        <f t="shared" si="0"/>
        <v>0</v>
      </c>
      <c r="F60" s="63"/>
      <c r="G60" s="63"/>
      <c r="H60" s="63"/>
      <c r="I60" s="63"/>
      <c r="J60" s="75">
        <f t="shared" si="1"/>
        <v>0</v>
      </c>
      <c r="K60" s="63"/>
      <c r="L60" s="63"/>
      <c r="M60" s="63"/>
      <c r="N60" s="75">
        <f t="shared" si="2"/>
        <v>0</v>
      </c>
      <c r="O60" s="63"/>
      <c r="P60" s="63"/>
      <c r="Q60" s="75">
        <f t="shared" si="3"/>
        <v>0</v>
      </c>
      <c r="R60" s="66">
        <f t="shared" si="8"/>
        <v>0</v>
      </c>
      <c r="S60" s="67">
        <f t="shared" si="5"/>
        <v>0</v>
      </c>
      <c r="T60" s="63"/>
      <c r="U60" s="68">
        <f t="shared" si="6"/>
        <v>0</v>
      </c>
    </row>
    <row r="61" spans="3:21" ht="17.25" x14ac:dyDescent="0.2">
      <c r="C61" s="43"/>
      <c r="D61" s="73">
        <f t="shared" si="7"/>
        <v>0</v>
      </c>
      <c r="E61" s="62">
        <f t="shared" si="0"/>
        <v>0</v>
      </c>
      <c r="F61" s="63"/>
      <c r="G61" s="63"/>
      <c r="H61" s="63"/>
      <c r="I61" s="63"/>
      <c r="J61" s="75">
        <f t="shared" si="1"/>
        <v>0</v>
      </c>
      <c r="K61" s="63"/>
      <c r="L61" s="63"/>
      <c r="M61" s="63"/>
      <c r="N61" s="75">
        <f t="shared" si="2"/>
        <v>0</v>
      </c>
      <c r="O61" s="63"/>
      <c r="P61" s="63"/>
      <c r="Q61" s="75">
        <f t="shared" si="3"/>
        <v>0</v>
      </c>
      <c r="R61" s="66">
        <f t="shared" si="8"/>
        <v>0</v>
      </c>
      <c r="S61" s="67">
        <f t="shared" si="5"/>
        <v>0</v>
      </c>
      <c r="T61" s="63"/>
      <c r="U61" s="68">
        <f t="shared" si="6"/>
        <v>0</v>
      </c>
    </row>
    <row r="62" spans="3:21" ht="17.25" x14ac:dyDescent="0.2">
      <c r="C62" s="43"/>
      <c r="D62" s="73">
        <f t="shared" si="7"/>
        <v>0</v>
      </c>
      <c r="E62" s="62">
        <f t="shared" si="0"/>
        <v>0</v>
      </c>
      <c r="F62" s="63"/>
      <c r="G62" s="63"/>
      <c r="H62" s="63"/>
      <c r="I62" s="63"/>
      <c r="J62" s="75">
        <f t="shared" si="1"/>
        <v>0</v>
      </c>
      <c r="K62" s="63"/>
      <c r="L62" s="63"/>
      <c r="M62" s="63"/>
      <c r="N62" s="75">
        <f t="shared" si="2"/>
        <v>0</v>
      </c>
      <c r="O62" s="63"/>
      <c r="P62" s="63"/>
      <c r="Q62" s="75">
        <f t="shared" si="3"/>
        <v>0</v>
      </c>
      <c r="R62" s="66">
        <f t="shared" si="8"/>
        <v>0</v>
      </c>
      <c r="S62" s="67">
        <f t="shared" si="5"/>
        <v>0</v>
      </c>
      <c r="T62" s="63"/>
      <c r="U62" s="68">
        <f t="shared" si="6"/>
        <v>0</v>
      </c>
    </row>
    <row r="63" spans="3:21" ht="17.25" x14ac:dyDescent="0.2">
      <c r="C63" s="57" t="s">
        <v>30</v>
      </c>
      <c r="D63" s="73">
        <f t="shared" si="7"/>
        <v>0</v>
      </c>
      <c r="E63" s="62">
        <f t="shared" si="0"/>
        <v>0</v>
      </c>
      <c r="F63" s="63"/>
      <c r="G63" s="63"/>
      <c r="H63" s="63"/>
      <c r="I63" s="63"/>
      <c r="J63" s="75">
        <f t="shared" si="1"/>
        <v>0</v>
      </c>
      <c r="K63" s="63"/>
      <c r="L63" s="63"/>
      <c r="M63" s="63"/>
      <c r="N63" s="75">
        <f t="shared" si="2"/>
        <v>0</v>
      </c>
      <c r="O63" s="63"/>
      <c r="P63" s="63"/>
      <c r="Q63" s="75">
        <f t="shared" si="3"/>
        <v>0</v>
      </c>
      <c r="R63" s="66">
        <f t="shared" si="8"/>
        <v>0</v>
      </c>
      <c r="S63" s="67">
        <f t="shared" si="5"/>
        <v>0</v>
      </c>
      <c r="T63" s="63"/>
      <c r="U63" s="68">
        <f t="shared" si="6"/>
        <v>0</v>
      </c>
    </row>
    <row r="64" spans="3:21" ht="17.25" x14ac:dyDescent="0.2">
      <c r="C64" s="43"/>
      <c r="D64" s="73">
        <f t="shared" si="7"/>
        <v>0</v>
      </c>
      <c r="E64" s="62">
        <f t="shared" si="0"/>
        <v>0</v>
      </c>
      <c r="F64" s="63"/>
      <c r="G64" s="63"/>
      <c r="H64" s="63"/>
      <c r="I64" s="63"/>
      <c r="J64" s="75">
        <f t="shared" si="1"/>
        <v>0</v>
      </c>
      <c r="K64" s="63"/>
      <c r="L64" s="63"/>
      <c r="M64" s="63"/>
      <c r="N64" s="75">
        <f t="shared" si="2"/>
        <v>0</v>
      </c>
      <c r="O64" s="63"/>
      <c r="P64" s="63"/>
      <c r="Q64" s="75">
        <f t="shared" si="3"/>
        <v>0</v>
      </c>
      <c r="R64" s="66">
        <f t="shared" si="8"/>
        <v>0</v>
      </c>
      <c r="S64" s="67">
        <f t="shared" si="5"/>
        <v>0</v>
      </c>
      <c r="T64" s="63"/>
      <c r="U64" s="68">
        <f t="shared" si="6"/>
        <v>0</v>
      </c>
    </row>
    <row r="65" spans="3:21" ht="17.25" x14ac:dyDescent="0.2">
      <c r="C65" s="43"/>
      <c r="D65" s="73">
        <f t="shared" si="7"/>
        <v>0</v>
      </c>
      <c r="E65" s="62">
        <f t="shared" si="0"/>
        <v>0</v>
      </c>
      <c r="F65" s="63"/>
      <c r="G65" s="63"/>
      <c r="H65" s="63"/>
      <c r="I65" s="63"/>
      <c r="J65" s="75">
        <f t="shared" si="1"/>
        <v>0</v>
      </c>
      <c r="K65" s="63"/>
      <c r="L65" s="63"/>
      <c r="M65" s="63"/>
      <c r="N65" s="75">
        <f t="shared" si="2"/>
        <v>0</v>
      </c>
      <c r="O65" s="63"/>
      <c r="P65" s="63"/>
      <c r="Q65" s="75">
        <f t="shared" si="3"/>
        <v>0</v>
      </c>
      <c r="R65" s="66">
        <f t="shared" si="8"/>
        <v>0</v>
      </c>
      <c r="S65" s="67">
        <f t="shared" si="5"/>
        <v>0</v>
      </c>
      <c r="T65" s="63"/>
      <c r="U65" s="68">
        <f t="shared" si="6"/>
        <v>0</v>
      </c>
    </row>
    <row r="66" spans="3:21" ht="17.25" x14ac:dyDescent="0.2">
      <c r="C66" s="43"/>
      <c r="D66" s="73">
        <f t="shared" si="7"/>
        <v>0</v>
      </c>
      <c r="E66" s="62">
        <f t="shared" si="0"/>
        <v>0</v>
      </c>
      <c r="F66" s="63"/>
      <c r="G66" s="63"/>
      <c r="H66" s="63"/>
      <c r="I66" s="63"/>
      <c r="J66" s="75">
        <f t="shared" si="1"/>
        <v>0</v>
      </c>
      <c r="K66" s="63"/>
      <c r="L66" s="63"/>
      <c r="M66" s="63"/>
      <c r="N66" s="75">
        <f t="shared" si="2"/>
        <v>0</v>
      </c>
      <c r="O66" s="63"/>
      <c r="P66" s="63"/>
      <c r="Q66" s="75">
        <f t="shared" si="3"/>
        <v>0</v>
      </c>
      <c r="R66" s="66">
        <f t="shared" si="8"/>
        <v>0</v>
      </c>
      <c r="S66" s="67">
        <f t="shared" si="5"/>
        <v>0</v>
      </c>
      <c r="T66" s="63"/>
      <c r="U66" s="68">
        <f t="shared" si="6"/>
        <v>0</v>
      </c>
    </row>
    <row r="67" spans="3:21" ht="17.25" x14ac:dyDescent="0.2">
      <c r="C67" s="43"/>
      <c r="D67" s="73">
        <f t="shared" si="7"/>
        <v>0</v>
      </c>
      <c r="E67" s="62">
        <f t="shared" si="0"/>
        <v>0</v>
      </c>
      <c r="F67" s="63"/>
      <c r="G67" s="63"/>
      <c r="H67" s="63"/>
      <c r="I67" s="63"/>
      <c r="J67" s="75">
        <f t="shared" si="1"/>
        <v>0</v>
      </c>
      <c r="K67" s="63"/>
      <c r="L67" s="63"/>
      <c r="M67" s="63"/>
      <c r="N67" s="75">
        <f t="shared" si="2"/>
        <v>0</v>
      </c>
      <c r="O67" s="63"/>
      <c r="P67" s="63"/>
      <c r="Q67" s="75">
        <f t="shared" si="3"/>
        <v>0</v>
      </c>
      <c r="R67" s="66">
        <f t="shared" si="8"/>
        <v>0</v>
      </c>
      <c r="S67" s="67">
        <f t="shared" si="5"/>
        <v>0</v>
      </c>
      <c r="T67" s="63"/>
      <c r="U67" s="68">
        <f t="shared" si="6"/>
        <v>0</v>
      </c>
    </row>
    <row r="68" spans="3:21" ht="17.25" x14ac:dyDescent="0.2">
      <c r="C68" s="43"/>
      <c r="D68" s="73">
        <f t="shared" si="7"/>
        <v>0</v>
      </c>
      <c r="E68" s="62">
        <f t="shared" ref="E68:E74" si="9">U68</f>
        <v>0</v>
      </c>
      <c r="F68" s="63"/>
      <c r="G68" s="63"/>
      <c r="H68" s="63"/>
      <c r="I68" s="63"/>
      <c r="J68" s="75">
        <f t="shared" ref="J68:J75" si="10">SUM(F68:I68)</f>
        <v>0</v>
      </c>
      <c r="K68" s="63"/>
      <c r="L68" s="63"/>
      <c r="M68" s="63"/>
      <c r="N68" s="75">
        <f t="shared" ref="N68:N75" si="11">SUM(K68:M68)</f>
        <v>0</v>
      </c>
      <c r="O68" s="63"/>
      <c r="P68" s="63"/>
      <c r="Q68" s="75">
        <f t="shared" ref="Q68:Q75" si="12">SUM(O68:P68)</f>
        <v>0</v>
      </c>
      <c r="R68" s="66">
        <f t="shared" si="8"/>
        <v>0</v>
      </c>
      <c r="S68" s="67">
        <f t="shared" ref="S68:S75" si="13">(R68/100)*30</f>
        <v>0</v>
      </c>
      <c r="T68" s="63"/>
      <c r="U68" s="68">
        <f t="shared" ref="U68:U75" si="14">S68+T68</f>
        <v>0</v>
      </c>
    </row>
    <row r="69" spans="3:21" ht="17.25" x14ac:dyDescent="0.2">
      <c r="C69" s="43"/>
      <c r="D69" s="73">
        <f t="shared" ref="D69:D73" si="15">R69</f>
        <v>0</v>
      </c>
      <c r="E69" s="62">
        <f t="shared" si="9"/>
        <v>0</v>
      </c>
      <c r="F69" s="63"/>
      <c r="G69" s="63"/>
      <c r="H69" s="63"/>
      <c r="I69" s="63"/>
      <c r="J69" s="75">
        <f t="shared" si="10"/>
        <v>0</v>
      </c>
      <c r="K69" s="63"/>
      <c r="L69" s="63"/>
      <c r="M69" s="63"/>
      <c r="N69" s="75">
        <f t="shared" si="11"/>
        <v>0</v>
      </c>
      <c r="O69" s="63"/>
      <c r="P69" s="63"/>
      <c r="Q69" s="75">
        <f t="shared" si="12"/>
        <v>0</v>
      </c>
      <c r="R69" s="66">
        <f t="shared" si="8"/>
        <v>0</v>
      </c>
      <c r="S69" s="67">
        <f t="shared" si="13"/>
        <v>0</v>
      </c>
      <c r="T69" s="63"/>
      <c r="U69" s="68">
        <f t="shared" si="14"/>
        <v>0</v>
      </c>
    </row>
    <row r="70" spans="3:21" ht="17.25" x14ac:dyDescent="0.2">
      <c r="C70" s="43"/>
      <c r="D70" s="73">
        <f t="shared" si="15"/>
        <v>0</v>
      </c>
      <c r="E70" s="62">
        <f t="shared" si="9"/>
        <v>0</v>
      </c>
      <c r="F70" s="63"/>
      <c r="G70" s="63"/>
      <c r="H70" s="63"/>
      <c r="I70" s="63"/>
      <c r="J70" s="75">
        <f t="shared" si="10"/>
        <v>0</v>
      </c>
      <c r="K70" s="63"/>
      <c r="L70" s="63"/>
      <c r="M70" s="63"/>
      <c r="N70" s="75">
        <f t="shared" si="11"/>
        <v>0</v>
      </c>
      <c r="O70" s="63"/>
      <c r="P70" s="63"/>
      <c r="Q70" s="75">
        <f t="shared" si="12"/>
        <v>0</v>
      </c>
      <c r="R70" s="66">
        <f t="shared" si="8"/>
        <v>0</v>
      </c>
      <c r="S70" s="67">
        <f t="shared" si="13"/>
        <v>0</v>
      </c>
      <c r="T70" s="63"/>
      <c r="U70" s="68">
        <f t="shared" si="14"/>
        <v>0</v>
      </c>
    </row>
    <row r="71" spans="3:21" ht="17.25" x14ac:dyDescent="0.2">
      <c r="C71" s="43"/>
      <c r="D71" s="73">
        <f t="shared" si="15"/>
        <v>0</v>
      </c>
      <c r="E71" s="62">
        <f t="shared" si="9"/>
        <v>0</v>
      </c>
      <c r="F71" s="63"/>
      <c r="G71" s="63"/>
      <c r="H71" s="63"/>
      <c r="I71" s="63"/>
      <c r="J71" s="75">
        <f t="shared" si="10"/>
        <v>0</v>
      </c>
      <c r="K71" s="63"/>
      <c r="L71" s="63"/>
      <c r="M71" s="63"/>
      <c r="N71" s="75">
        <f t="shared" si="11"/>
        <v>0</v>
      </c>
      <c r="O71" s="63"/>
      <c r="P71" s="63"/>
      <c r="Q71" s="75">
        <f t="shared" si="12"/>
        <v>0</v>
      </c>
      <c r="R71" s="66">
        <f t="shared" si="8"/>
        <v>0</v>
      </c>
      <c r="S71" s="67">
        <f t="shared" si="13"/>
        <v>0</v>
      </c>
      <c r="T71" s="63"/>
      <c r="U71" s="68">
        <f t="shared" si="14"/>
        <v>0</v>
      </c>
    </row>
    <row r="72" spans="3:21" ht="17.25" x14ac:dyDescent="0.2">
      <c r="C72" s="43"/>
      <c r="D72" s="73">
        <f t="shared" si="15"/>
        <v>0</v>
      </c>
      <c r="E72" s="62">
        <f t="shared" si="9"/>
        <v>0</v>
      </c>
      <c r="F72" s="63"/>
      <c r="G72" s="63"/>
      <c r="H72" s="63"/>
      <c r="I72" s="63"/>
      <c r="J72" s="75">
        <f t="shared" si="10"/>
        <v>0</v>
      </c>
      <c r="K72" s="63"/>
      <c r="L72" s="63"/>
      <c r="M72" s="63"/>
      <c r="N72" s="75">
        <f t="shared" si="11"/>
        <v>0</v>
      </c>
      <c r="O72" s="63"/>
      <c r="P72" s="63"/>
      <c r="Q72" s="75">
        <f t="shared" si="12"/>
        <v>0</v>
      </c>
      <c r="R72" s="66">
        <f t="shared" si="8"/>
        <v>0</v>
      </c>
      <c r="S72" s="67">
        <f t="shared" si="13"/>
        <v>0</v>
      </c>
      <c r="T72" s="63"/>
      <c r="U72" s="68">
        <f t="shared" si="14"/>
        <v>0</v>
      </c>
    </row>
    <row r="73" spans="3:21" ht="18" thickBot="1" x14ac:dyDescent="0.25">
      <c r="C73" s="43"/>
      <c r="D73" s="73">
        <f t="shared" si="15"/>
        <v>0</v>
      </c>
      <c r="E73" s="62">
        <f t="shared" si="9"/>
        <v>0</v>
      </c>
      <c r="F73" s="63"/>
      <c r="G73" s="63"/>
      <c r="H73" s="63"/>
      <c r="I73" s="63"/>
      <c r="J73" s="75">
        <f t="shared" si="10"/>
        <v>0</v>
      </c>
      <c r="K73" s="63"/>
      <c r="L73" s="63"/>
      <c r="M73" s="63"/>
      <c r="N73" s="75">
        <f t="shared" si="11"/>
        <v>0</v>
      </c>
      <c r="O73" s="63"/>
      <c r="P73" s="63"/>
      <c r="Q73" s="75">
        <f t="shared" si="12"/>
        <v>0</v>
      </c>
      <c r="R73" s="66">
        <f t="shared" si="8"/>
        <v>0</v>
      </c>
      <c r="S73" s="67">
        <f t="shared" si="13"/>
        <v>0</v>
      </c>
      <c r="T73" s="63"/>
      <c r="U73" s="68">
        <f t="shared" si="14"/>
        <v>0</v>
      </c>
    </row>
    <row r="74" spans="3:21" ht="18" thickTop="1" x14ac:dyDescent="0.2">
      <c r="C74" s="56"/>
      <c r="D74" s="74"/>
      <c r="E74" s="62">
        <f t="shared" si="9"/>
        <v>0</v>
      </c>
      <c r="F74" s="63"/>
      <c r="G74" s="63"/>
      <c r="H74" s="63"/>
      <c r="I74" s="63"/>
      <c r="J74" s="75">
        <f t="shared" si="10"/>
        <v>0</v>
      </c>
      <c r="K74" s="63"/>
      <c r="L74" s="63"/>
      <c r="M74" s="63"/>
      <c r="N74" s="75">
        <f t="shared" si="11"/>
        <v>0</v>
      </c>
      <c r="O74" s="63"/>
      <c r="P74" s="63"/>
      <c r="Q74" s="75">
        <f t="shared" si="12"/>
        <v>0</v>
      </c>
      <c r="R74" s="66">
        <f t="shared" si="8"/>
        <v>0</v>
      </c>
      <c r="S74" s="67">
        <f t="shared" si="13"/>
        <v>0</v>
      </c>
      <c r="T74" s="63"/>
      <c r="U74" s="68">
        <f t="shared" si="14"/>
        <v>0</v>
      </c>
    </row>
    <row r="75" spans="3:21" ht="17.25" x14ac:dyDescent="0.2">
      <c r="E75" s="63"/>
      <c r="F75" s="63"/>
      <c r="G75" s="63"/>
      <c r="H75" s="63"/>
      <c r="I75" s="63"/>
      <c r="J75" s="65">
        <f t="shared" si="10"/>
        <v>0</v>
      </c>
      <c r="K75" s="63"/>
      <c r="L75" s="63"/>
      <c r="M75" s="63"/>
      <c r="N75" s="65">
        <f t="shared" si="11"/>
        <v>0</v>
      </c>
      <c r="O75" s="63"/>
      <c r="P75" s="63"/>
      <c r="Q75" s="65">
        <f t="shared" si="12"/>
        <v>0</v>
      </c>
      <c r="R75" s="66">
        <f t="shared" si="8"/>
        <v>0</v>
      </c>
      <c r="S75" s="67">
        <f t="shared" si="13"/>
        <v>0</v>
      </c>
      <c r="T75" s="63"/>
      <c r="U75" s="68">
        <f t="shared" si="14"/>
        <v>0</v>
      </c>
    </row>
    <row r="76" spans="3:21" ht="17.25" x14ac:dyDescent="0.2">
      <c r="E76" s="63"/>
      <c r="F76" s="63"/>
      <c r="G76" s="63"/>
      <c r="H76" s="63"/>
      <c r="I76" s="63"/>
      <c r="J76" s="69"/>
      <c r="K76" s="63"/>
      <c r="L76" s="63"/>
      <c r="M76" s="63"/>
      <c r="N76" s="69"/>
      <c r="O76" s="63"/>
      <c r="P76" s="63"/>
      <c r="Q76" s="69"/>
      <c r="R76" s="70"/>
      <c r="S76" s="71"/>
      <c r="T76" s="63"/>
      <c r="U76" s="6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theme="1" tint="0.249977111117893"/>
  </sheetPr>
  <dimension ref="B2:B6"/>
  <sheetViews>
    <sheetView zoomScaleNormal="100" workbookViewId="0">
      <selection activeCell="B7" sqref="B7"/>
    </sheetView>
  </sheetViews>
  <sheetFormatPr defaultRowHeight="12.75" x14ac:dyDescent="0.15"/>
  <cols>
    <col min="1" max="1" width="1.7578125" customWidth="1"/>
  </cols>
  <sheetData>
    <row r="2" spans="2:2" x14ac:dyDescent="0.15">
      <c r="B2" t="s">
        <v>2</v>
      </c>
    </row>
    <row r="4" spans="2:2" x14ac:dyDescent="0.15">
      <c r="B4" s="10" t="e">
        <f>MIN(1,1-B5)</f>
        <v>#REF!</v>
      </c>
    </row>
    <row r="5" spans="2:2" x14ac:dyDescent="0.15">
      <c r="B5" s="10" t="e">
        <f>MIN(TotalMonthlyExpenses/TotalMonthlyIncome,1)</f>
        <v>#REF!</v>
      </c>
    </row>
    <row r="6" spans="2:2" x14ac:dyDescent="0.15">
      <c r="B6" t="e">
        <f>(TotalMonthlyExpenses/TotalMonthlyIncome)&gt;1</f>
        <v>#REF!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control</vt:lpstr>
      <vt:lpstr>sc chem</vt:lpstr>
      <vt:lpstr>RAW SCORE</vt:lpstr>
      <vt:lpstr>Chart Data</vt:lpstr>
      <vt:lpstr>diamondgem</vt:lpstr>
      <vt:lpstr>goldenticket</vt:lpstr>
      <vt:lpstr>sc chem!Print_Titles</vt:lpstr>
      <vt:lpstr>star</vt:lpstr>
      <vt:lpstr>ticket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AMEST</dc:creator>
  <cp:lastModifiedBy>MIC</cp:lastModifiedBy>
  <dcterms:created xsi:type="dcterms:W3CDTF">2014-09-09T12:15:28Z</dcterms:created>
  <dcterms:modified xsi:type="dcterms:W3CDTF">2024-11-12T15:09:32Z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TF10000002</vt:lpwstr>
  </property>
</Properties>
</file>